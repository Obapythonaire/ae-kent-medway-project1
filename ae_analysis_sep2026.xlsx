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hidePivotFieldList="1" defaultThemeVersion="124226"/>
  <mc:AlternateContent xmlns:mc="http://schemas.openxmlformats.org/markup-compatibility/2006">
    <mc:Choice Requires="x15">
      <x15ac:absPath xmlns:x15ac="http://schemas.microsoft.com/office/spreadsheetml/2010/11/ac" url="/Users/abdulahi/Documents/project1-ae-tracker/work/"/>
    </mc:Choice>
  </mc:AlternateContent>
  <xr:revisionPtr revIDLastSave="0" documentId="13_ncr:1_{702D7857-EC70-F042-A267-1579349B1C36}" xr6:coauthVersionLast="47" xr6:coauthVersionMax="47" xr10:uidLastSave="{00000000-0000-0000-0000-000000000000}"/>
  <bookViews>
    <workbookView xWindow="0" yWindow="660" windowWidth="34560" windowHeight="21680" tabRatio="774" activeTab="3" xr2:uid="{A40073D3-FB6F-3948-9109-54B65E887E7D}"/>
  </bookViews>
  <sheets>
    <sheet name="System Level Data" sheetId="11" r:id="rId1"/>
    <sheet name="System Mapping" sheetId="12" state="hidden" r:id="rId2"/>
    <sheet name="Provider Level Data" sheetId="10" r:id="rId3"/>
    <sheet name="Pivot_Kent" sheetId="23" r:id="rId4"/>
    <sheet name="AE_Clean" sheetId="19" r:id="rId5"/>
    <sheet name="Summary" sheetId="20" r:id="rId6"/>
    <sheet name="Non-Booked Data" sheetId="16" r:id="rId7"/>
    <sheet name="Booked Appointments Data" sheetId="15" r:id="rId8"/>
    <sheet name="Acute Trust Footprint Data" sheetId="13" r:id="rId9"/>
    <sheet name="Acute Trust Mapping" sheetId="14" state="hidden" r:id="rId10"/>
    <sheet name="QA" sheetId="17" state="hidden" r:id="rId11"/>
  </sheets>
  <definedNames>
    <definedName name="_xlnm._FilterDatabase" localSheetId="8" hidden="1">'Acute Trust Footprint Data'!$B$18:$U$18</definedName>
    <definedName name="_xlnm._FilterDatabase" localSheetId="9" hidden="1">'Acute Trust Mapping'!$A$4:$Q$258</definedName>
    <definedName name="_xlnm._FilterDatabase" localSheetId="7" hidden="1">'Booked Appointments Data'!$B$18:$P$209</definedName>
    <definedName name="_xlnm._FilterDatabase" localSheetId="6" hidden="1">'Non-Booked Data'!$B$18:$AB$209</definedName>
    <definedName name="_xlnm._FilterDatabase" localSheetId="2" hidden="1">'Provider Level Data'!$B$18:$AB$209</definedName>
    <definedName name="_xlnm._FilterDatabase" localSheetId="1" hidden="1">'System Mapping'!$A$3:$H$273</definedName>
    <definedName name="_xlchart.v2.0" hidden="1">Pivot_Kent!$A$14:$A$17</definedName>
    <definedName name="_xlchart.v2.1" hidden="1">Pivot_Kent!$B$13</definedName>
    <definedName name="_xlchart.v2.2" hidden="1">Pivot_Kent!$B$14:$B$17</definedName>
    <definedName name="_xlnm.Print_Titles" localSheetId="7">'Booked Appointments Data'!$1:$16</definedName>
    <definedName name="_xlnm.Print_Titles" localSheetId="6">'Non-Booked Data'!$1:$16</definedName>
    <definedName name="_xlnm.Print_Titles" localSheetId="2">'Provider Level Data'!$1:$16</definedName>
  </definedNames>
  <calcPr calcId="191029"/>
  <pivotCaches>
    <pivotCache cacheId="19"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9" l="1"/>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G193" i="19"/>
  <c r="B12" i="20"/>
  <c r="B11" i="20"/>
  <c r="B9" i="20"/>
  <c r="B8" i="20"/>
  <c r="B7" i="20"/>
  <c r="B6" i="20"/>
  <c r="B5" i="20"/>
  <c r="B4" i="20"/>
  <c r="L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M3" i="19"/>
  <c r="M2" i="19"/>
  <c r="M4"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F18" i="17"/>
  <c r="G18" i="17"/>
  <c r="S18" i="17"/>
  <c r="S20" i="17" s="1"/>
  <c r="T18" i="17"/>
  <c r="V18" i="17"/>
  <c r="E18" i="17"/>
  <c r="R18" i="17"/>
  <c r="Y18" i="17"/>
  <c r="X18" i="17"/>
  <c r="O17" i="17"/>
  <c r="N17" i="17"/>
  <c r="M17" i="17"/>
  <c r="M13" i="17" s="1"/>
  <c r="O18" i="17"/>
  <c r="N18" i="17"/>
  <c r="N20" i="17" s="1"/>
  <c r="M18" i="17"/>
  <c r="E17" i="17"/>
  <c r="F17" i="17"/>
  <c r="F20" i="17" s="1"/>
  <c r="G17" i="17"/>
  <c r="E20" i="17"/>
  <c r="O20" i="17"/>
  <c r="G20" i="17"/>
  <c r="V17" i="17"/>
  <c r="V20" i="17" s="1"/>
  <c r="T17" i="17"/>
  <c r="T20" i="17" s="1"/>
  <c r="S17" i="17"/>
  <c r="U18" i="17"/>
  <c r="X17" i="17"/>
  <c r="X20" i="17"/>
  <c r="Y17" i="17"/>
  <c r="Y20" i="17" s="1"/>
  <c r="R17" i="17"/>
  <c r="R20" i="17" s="1"/>
  <c r="W17" i="17"/>
  <c r="W20" i="17" s="1"/>
  <c r="W18" i="17"/>
  <c r="U17" i="17"/>
  <c r="U20" i="17" s="1"/>
  <c r="S9" i="17"/>
  <c r="V9" i="17"/>
  <c r="W9" i="17"/>
  <c r="W11" i="17" s="1"/>
  <c r="T9" i="17"/>
  <c r="X9" i="17"/>
  <c r="U9" i="17"/>
  <c r="R9" i="17"/>
  <c r="Y9" i="17"/>
  <c r="F9" i="17"/>
  <c r="N9" i="17"/>
  <c r="M9" i="17"/>
  <c r="E9" i="17"/>
  <c r="E11" i="17" s="1"/>
  <c r="G9" i="17"/>
  <c r="G11" i="17" s="1"/>
  <c r="O9" i="17"/>
  <c r="H18" i="17"/>
  <c r="H20" i="17" s="1"/>
  <c r="H17" i="17"/>
  <c r="P17" i="17"/>
  <c r="I17" i="17"/>
  <c r="K17" i="17"/>
  <c r="J17" i="17"/>
  <c r="J23" i="17" s="1"/>
  <c r="P18" i="17"/>
  <c r="P20" i="17" s="1"/>
  <c r="K18" i="17"/>
  <c r="I18" i="17"/>
  <c r="J18" i="17"/>
  <c r="P9" i="17"/>
  <c r="K9" i="17"/>
  <c r="I9" i="17"/>
  <c r="I11" i="17" s="1"/>
  <c r="H9" i="17"/>
  <c r="J9" i="17"/>
  <c r="L17" i="17"/>
  <c r="L20" i="17" s="1"/>
  <c r="I20" i="17"/>
  <c r="K20" i="17"/>
  <c r="L18" i="17"/>
  <c r="L9" i="17"/>
  <c r="E27" i="17"/>
  <c r="E23" i="17"/>
  <c r="O27" i="17"/>
  <c r="O23" i="17" s="1"/>
  <c r="E28" i="17"/>
  <c r="M28" i="17"/>
  <c r="F28" i="17"/>
  <c r="O28" i="17"/>
  <c r="G28" i="17"/>
  <c r="N28" i="17"/>
  <c r="M27" i="17"/>
  <c r="M23" i="17"/>
  <c r="F27" i="17"/>
  <c r="N27" i="17"/>
  <c r="N23" i="17" s="1"/>
  <c r="G27" i="17"/>
  <c r="G23" i="17" s="1"/>
  <c r="I28" i="17"/>
  <c r="K28" i="17"/>
  <c r="J28" i="17"/>
  <c r="P28" i="17"/>
  <c r="H28" i="17"/>
  <c r="H27" i="17"/>
  <c r="H23" i="17"/>
  <c r="P27" i="17"/>
  <c r="P23" i="17"/>
  <c r="L28" i="17"/>
  <c r="J27" i="17"/>
  <c r="K27" i="17"/>
  <c r="K23" i="17"/>
  <c r="I27" i="17"/>
  <c r="I23" i="17" s="1"/>
  <c r="T8" i="17"/>
  <c r="T13" i="17" s="1"/>
  <c r="N8" i="17"/>
  <c r="N11" i="17" s="1"/>
  <c r="O8" i="17"/>
  <c r="O13" i="17"/>
  <c r="G8" i="17"/>
  <c r="G13" i="17"/>
  <c r="Y8" i="17"/>
  <c r="Y13" i="17" s="1"/>
  <c r="R8" i="17"/>
  <c r="R13" i="17" s="1"/>
  <c r="X8" i="17"/>
  <c r="X13" i="17" s="1"/>
  <c r="M8" i="17"/>
  <c r="M11" i="17" s="1"/>
  <c r="E8" i="17"/>
  <c r="E13" i="17"/>
  <c r="F8" i="17"/>
  <c r="F11" i="17" s="1"/>
  <c r="X11" i="17"/>
  <c r="O11" i="17"/>
  <c r="V8" i="17"/>
  <c r="V13" i="17" s="1"/>
  <c r="S8" i="17"/>
  <c r="S13" i="17" s="1"/>
  <c r="S11" i="17"/>
  <c r="I8" i="17"/>
  <c r="I13" i="17"/>
  <c r="J8" i="17"/>
  <c r="J13" i="17"/>
  <c r="L27" i="17"/>
  <c r="K8" i="17"/>
  <c r="K13" i="17" s="1"/>
  <c r="P8" i="17"/>
  <c r="P11" i="17" s="1"/>
  <c r="H8" i="17"/>
  <c r="H13" i="17"/>
  <c r="U8" i="17"/>
  <c r="U11" i="17"/>
  <c r="U13" i="17"/>
  <c r="J11" i="17"/>
  <c r="H11" i="17"/>
  <c r="K11" i="17"/>
  <c r="W8" i="17"/>
  <c r="W13" i="17" s="1"/>
  <c r="V11" i="17"/>
  <c r="L8" i="17"/>
  <c r="L11" i="17" s="1"/>
  <c r="P13" i="17" l="1"/>
  <c r="R11" i="17"/>
  <c r="N13" i="17"/>
  <c r="T11" i="17"/>
  <c r="J20" i="17"/>
  <c r="L13" i="17"/>
  <c r="Y11" i="17"/>
  <c r="L23" i="17"/>
  <c r="F13" i="17"/>
  <c r="F23" i="17"/>
  <c r="M20" i="17"/>
</calcChain>
</file>

<file path=xl/sharedStrings.xml><?xml version="1.0" encoding="utf-8"?>
<sst xmlns="http://schemas.openxmlformats.org/spreadsheetml/2006/main" count="7601" uniqueCount="915">
  <si>
    <t>Title:</t>
  </si>
  <si>
    <t>A&amp;E Attendances &amp; Emergency Admission monthly statistics, NHS and independent sector organisations in England</t>
  </si>
  <si>
    <t>Summary:</t>
  </si>
  <si>
    <t>A&amp;E attendances, performance and emergency admission.
Please see the Supplementary ECDS Analysis file for further breakdowns of A&amp;E attendance data, this can be found published below this file on the NHS England Website, this provides attendance data split by age groups, gender, ethnicity, chief complaint and provides a data completeness and quality fact sheet.</t>
  </si>
  <si>
    <t>Period:</t>
  </si>
  <si>
    <t>Source:</t>
  </si>
  <si>
    <t>SDCS data collection - MSitAE</t>
  </si>
  <si>
    <t>Basis:</t>
  </si>
  <si>
    <t>Provider</t>
  </si>
  <si>
    <t>Published:</t>
  </si>
  <si>
    <t>Revised:</t>
  </si>
  <si>
    <t>Status:</t>
  </si>
  <si>
    <t>Published</t>
  </si>
  <si>
    <t>Contact:</t>
  </si>
  <si>
    <t>Kerry Evert - england.aedata@nhs.net</t>
  </si>
  <si>
    <t>System Level Data</t>
  </si>
  <si>
    <t>A&amp;E attendances</t>
  </si>
  <si>
    <t>A&amp;E attendances &lt; 4 hours from arrival to admission, transfer or discharge</t>
  </si>
  <si>
    <t>A&amp;E attendances &gt; 4 hours from arrival to admission, transfer or discharge</t>
  </si>
  <si>
    <t>Percentage of attendances within 4 hours</t>
  </si>
  <si>
    <t>Emergency Admissions</t>
  </si>
  <si>
    <t>Code</t>
  </si>
  <si>
    <t>System</t>
  </si>
  <si>
    <t>Type 1 Departments - Major A&amp;E</t>
  </si>
  <si>
    <t>Type 2 Departments - Single Specialty</t>
  </si>
  <si>
    <t>Type 3 Departments - Other A&amp;E/Minor Injury Unit</t>
  </si>
  <si>
    <t>Total attendances</t>
  </si>
  <si>
    <t>Total Attendances &lt; 4 hours</t>
  </si>
  <si>
    <t>Total Attendances &gt; 4 hours</t>
  </si>
  <si>
    <t>Percentage in 4 hours or less (all)</t>
  </si>
  <si>
    <t>Percentage in 4 hours or less (type 1)</t>
  </si>
  <si>
    <t>Percentage in 4 hours or less (type 2)</t>
  </si>
  <si>
    <t>Percentage in 4 hours or less (type 3)</t>
  </si>
  <si>
    <t>Emergency Admissions via Type 1 A&amp;E</t>
  </si>
  <si>
    <t>Emergency Admissions via Type 2 A&amp;E</t>
  </si>
  <si>
    <t>Emergency Admissions via Type 3 and 4 A&amp;E</t>
  </si>
  <si>
    <t>Total Emergency Admissions via A&amp;E</t>
  </si>
  <si>
    <t>Other Emergency admissions (i.e not via A&amp;E)</t>
  </si>
  <si>
    <t>Total Emergency Admissions</t>
  </si>
  <si>
    <t>Number of patients spending &gt;4 hours from decision to admit to admission</t>
  </si>
  <si>
    <t>Number of patients spending &gt;12 hours from decision to admit to admission</t>
  </si>
  <si>
    <t>-</t>
  </si>
  <si>
    <t>QOX</t>
  </si>
  <si>
    <t>NHS Bath And North East Somerset, Swindon And Wiltshire Integrated Care Board</t>
  </si>
  <si>
    <t>QHG</t>
  </si>
  <si>
    <t>NHS Bedfordshire, Luton And Milton Keynes Integrated Care Board</t>
  </si>
  <si>
    <t>QHL</t>
  </si>
  <si>
    <t>NHS Birmingham And Solihull Integrated Care Board</t>
  </si>
  <si>
    <t>QUY</t>
  </si>
  <si>
    <t>NHS Bristol, North Somerset And South Gloucestershire Integrated Care Board</t>
  </si>
  <si>
    <t>QU9</t>
  </si>
  <si>
    <t>NHS Buckinghamshire, Oxfordshire And Berkshire West Integrated Care Board</t>
  </si>
  <si>
    <t>QUE</t>
  </si>
  <si>
    <t>NHS Cambridgeshire And Peterborough Integrated Care Board</t>
  </si>
  <si>
    <t>QYG</t>
  </si>
  <si>
    <t>NHS Cheshire And Merseyside Integrated Care Board</t>
  </si>
  <si>
    <t>QT6</t>
  </si>
  <si>
    <t>NHS Cornwall And The Isles Of Scilly Integrated Care Board</t>
  </si>
  <si>
    <t>QWU</t>
  </si>
  <si>
    <t>NHS Coventry And Warwickshire Integrated Care Board</t>
  </si>
  <si>
    <t>QHM</t>
  </si>
  <si>
    <t>NHS North East And North Cumbria Integrated Care Board</t>
  </si>
  <si>
    <t>QJK</t>
  </si>
  <si>
    <t>NHS Devon Integrated Care Board</t>
  </si>
  <si>
    <t>QVV</t>
  </si>
  <si>
    <t>NHS Dorset Integrated Care Board</t>
  </si>
  <si>
    <t>QMF</t>
  </si>
  <si>
    <t>NHS North East London Integrated Care Board</t>
  </si>
  <si>
    <t>QNQ</t>
  </si>
  <si>
    <t>NHS Frimley Integrated Care Board</t>
  </si>
  <si>
    <t>QR1</t>
  </si>
  <si>
    <t>NHS Gloucestershire Integrated Care Board</t>
  </si>
  <si>
    <t>QOP</t>
  </si>
  <si>
    <t>NHS Greater Manchester Integrated Care Board</t>
  </si>
  <si>
    <t>QRL</t>
  </si>
  <si>
    <t>NHS Hampshire And Isle Of Wight Integrated Care Board</t>
  </si>
  <si>
    <t>QE1</t>
  </si>
  <si>
    <t>NHS Lancashire And South Cumbria Integrated Care Board</t>
  </si>
  <si>
    <t>QGH</t>
  </si>
  <si>
    <t>NHS Herefordshire And Worcestershire Integrated Care Board</t>
  </si>
  <si>
    <t>QM7</t>
  </si>
  <si>
    <t>NHS Hertfordshire And West Essex Integrated Care Board</t>
  </si>
  <si>
    <t>QOQ</t>
  </si>
  <si>
    <t>NHS Humber And North Yorkshire Integrated Care Board</t>
  </si>
  <si>
    <t>QJ2</t>
  </si>
  <si>
    <t>NHS Derby And Derbyshire Integrated Care Board</t>
  </si>
  <si>
    <t>QKS</t>
  </si>
  <si>
    <t>NHS Kent And Medway Integrated Care Board</t>
  </si>
  <si>
    <t>QK1</t>
  </si>
  <si>
    <t>NHS Leicester, Leicestershire And Rutland Integrated Care Board</t>
  </si>
  <si>
    <t>QJM</t>
  </si>
  <si>
    <t>NHS Lincolnshire Integrated Care Board</t>
  </si>
  <si>
    <t>QH8</t>
  </si>
  <si>
    <t>NHS Mid And South Essex Integrated Care Board</t>
  </si>
  <si>
    <t>QMM</t>
  </si>
  <si>
    <t>NHS Norfolk And Waveney Integrated Care Board</t>
  </si>
  <si>
    <t>QMJ</t>
  </si>
  <si>
    <t>NHS North Central London Integrated Care Board</t>
  </si>
  <si>
    <t>QRV</t>
  </si>
  <si>
    <t>NHS North West London Integrated Care Board</t>
  </si>
  <si>
    <t>QPM</t>
  </si>
  <si>
    <t>NHS Northamptonshire Integrated Care Board</t>
  </si>
  <si>
    <t>QT1</t>
  </si>
  <si>
    <t>NHS Nottingham And Nottinghamshire Integrated Care Board</t>
  </si>
  <si>
    <t>QKK</t>
  </si>
  <si>
    <t>NHS South East London Integrated Care Board</t>
  </si>
  <si>
    <t>QOC</t>
  </si>
  <si>
    <t>NHS Shropshire, Telford And Wrekin Integrated Care Board</t>
  </si>
  <si>
    <t>QSL</t>
  </si>
  <si>
    <t>NHS Somerset Integrated Care Board</t>
  </si>
  <si>
    <t>QWE</t>
  </si>
  <si>
    <t>NHS South West London Integrated Care Board</t>
  </si>
  <si>
    <t>QF7</t>
  </si>
  <si>
    <t>NHS South Yorkshire Integrated Care Board</t>
  </si>
  <si>
    <t>QNC</t>
  </si>
  <si>
    <t>NHS Staffordshire And Stoke-On-Trent Integrated Care Board</t>
  </si>
  <si>
    <t>QJG</t>
  </si>
  <si>
    <t>NHS Suffolk And North East Essex Integrated Care Board</t>
  </si>
  <si>
    <t>QXU</t>
  </si>
  <si>
    <t>NHS Surrey Heartlands Integrated Care Board</t>
  </si>
  <si>
    <t>QNX</t>
  </si>
  <si>
    <t>NHS Sussex Integrated Care Board</t>
  </si>
  <si>
    <t>QUA</t>
  </si>
  <si>
    <t>NHS Black Country Integrated Care Board</t>
  </si>
  <si>
    <t>QWO</t>
  </si>
  <si>
    <t>NHS West Yorkshire Integrated Care Board</t>
  </si>
  <si>
    <t>Org code</t>
  </si>
  <si>
    <t xml:space="preserve">Region </t>
  </si>
  <si>
    <t>Name</t>
  </si>
  <si>
    <t>STP</t>
  </si>
  <si>
    <t>RF4</t>
  </si>
  <si>
    <t>London Commissioning Region</t>
  </si>
  <si>
    <t>Bath and North East Somerset, Swindon and Wiltshire STP</t>
  </si>
  <si>
    <t>NHS BATH AND NORTH EAST SOMERSET, SWINDON AND WILTSHIRE INTEGRATED CARE BOARD</t>
  </si>
  <si>
    <t>R1H</t>
  </si>
  <si>
    <t>Barts Health NHS Trust</t>
  </si>
  <si>
    <t>Bedfordshire, Luton and Milton Keynes STP</t>
  </si>
  <si>
    <t>NHS BEDFORDSHIRE, LUTON AND MILTON KEYNES INTEGRATED CARE BOARD</t>
  </si>
  <si>
    <t>Y03082</t>
  </si>
  <si>
    <t>Harold Wood Walk In Centre</t>
  </si>
  <si>
    <t>Birmingham and Solihull STP</t>
  </si>
  <si>
    <t>NHS BIRMINGHAM AND SOLIHULL INTEGRATED CARE BOARD</t>
  </si>
  <si>
    <t>RQX</t>
  </si>
  <si>
    <t>Homerton Healthcare NHS Foundation Trust</t>
  </si>
  <si>
    <t>Bristol, North Somerset and South Gloucestershire STP</t>
  </si>
  <si>
    <t>NHS BRISTOL, NORTH SOMERSET AND SOUTH GLOUCESTERSHIRE INTEGRATED CARE BOARD</t>
  </si>
  <si>
    <t>RAT</t>
  </si>
  <si>
    <t>North East London NHS Foundation Trust</t>
  </si>
  <si>
    <t>Buckinghamshire, Oxfordshire and Berkshire West STP</t>
  </si>
  <si>
    <t>NHS BUCKINGHAMSHIRE, OXFORDSHIRE AND BERKSHIRE WEST INTEGRATED CARE BOARD</t>
  </si>
  <si>
    <t>Y02973</t>
  </si>
  <si>
    <t>Orchard Village Walk-In-Centre</t>
  </si>
  <si>
    <t>Cambridgeshire and Peterborough STP</t>
  </si>
  <si>
    <t>NHS CAMBRIDGESHIRE AND PETERBOROUGH INTEGRATED CARE BOARD</t>
  </si>
  <si>
    <t>Y03047</t>
  </si>
  <si>
    <t>St Andrews Walk-In Centre</t>
  </si>
  <si>
    <t>Cheshire and Merseyside STP</t>
  </si>
  <si>
    <t>NHS CHESHIRE AND MERSEYSIDE INTEGRATED CARE BOARD</t>
  </si>
  <si>
    <t>F84747</t>
  </si>
  <si>
    <t>The Barkantine Practice</t>
  </si>
  <si>
    <t>Cornwall and The Isles of Scilly Health &amp; Social Care Partnership (STP)</t>
  </si>
  <si>
    <t>NHS CORNWALL AND THE ISLES OF SCILLY INTEGRATED CARE BOARD</t>
  </si>
  <si>
    <t>G0Q0L</t>
  </si>
  <si>
    <t>Barking Hospital UTC</t>
  </si>
  <si>
    <t>Coventry and Warwickshire STP</t>
  </si>
  <si>
    <t>NHS COVENTRY AND WARWICKSHIRE INTEGRATED CARE BOARD</t>
  </si>
  <si>
    <t>K6K0R</t>
  </si>
  <si>
    <t>Harold Wood Polyclinic UTC</t>
  </si>
  <si>
    <t>Cumbria and North East STP</t>
  </si>
  <si>
    <t>NHS NORTH EAST AND NORTH CUMBRIA INTEGRATED CARE BOARD</t>
  </si>
  <si>
    <t>Y02696</t>
  </si>
  <si>
    <t>Edmonton Gp Walk In Centre</t>
  </si>
  <si>
    <t>Devon STP</t>
  </si>
  <si>
    <t>NHS DEVON INTEGRATED CARE BOARD</t>
  </si>
  <si>
    <t>RP6</t>
  </si>
  <si>
    <t>Moorfields Eye Hospital NHS Foundation Trust</t>
  </si>
  <si>
    <t>Dorset STP</t>
  </si>
  <si>
    <t>NHS DORSET INTEGRATED CARE BOARD</t>
  </si>
  <si>
    <t>RAL</t>
  </si>
  <si>
    <t>Royal Free London NHS Foundation Trust</t>
  </si>
  <si>
    <t>NHS NORTH EAST LONDON INTEGRATED CARE BOARD</t>
  </si>
  <si>
    <t>RAN</t>
  </si>
  <si>
    <t>Royal National Orthopaedic Hospital NHS Trust</t>
  </si>
  <si>
    <t>Frimley Health &amp; Care Ics (STP)</t>
  </si>
  <si>
    <t>NHS FRIMLEY INTEGRATED CARE BOARD</t>
  </si>
  <si>
    <t>RKE</t>
  </si>
  <si>
    <t>Gloucestershire STP</t>
  </si>
  <si>
    <t>NHS GLOUCESTERSHIRE INTEGRATED CARE BOARD</t>
  </si>
  <si>
    <t>RRV</t>
  </si>
  <si>
    <t>University College London Hospitals NHS Foundation Trust</t>
  </si>
  <si>
    <t>Greater Manchester Health and Social Care Partnership (STP)</t>
  </si>
  <si>
    <t>NHS GREATER MANCHESTER INTEGRATED CARE BOARD</t>
  </si>
  <si>
    <t>Y03218</t>
  </si>
  <si>
    <t>Hampshire and The Isle of Wight STP</t>
  </si>
  <si>
    <t>NHS HAMPSHIRE AND ISLE OF WIGHT INTEGRATED CARE BOARD</t>
  </si>
  <si>
    <t>NYM13</t>
  </si>
  <si>
    <t>HHCIC EAST WIC</t>
  </si>
  <si>
    <t>Healthier Lancashire and South Cumbria</t>
  </si>
  <si>
    <t>NHS LANCASHIRE AND SOUTH CUMBRIA INTEGRATED CARE BOARD</t>
  </si>
  <si>
    <t>Y02692</t>
  </si>
  <si>
    <t>Brent Gp Access Unit Harness-Wembley</t>
  </si>
  <si>
    <t>Herefordshire and Worcestershire STP</t>
  </si>
  <si>
    <t>NHS HEREFORDSHIRE AND WORCESTERSHIRE INTEGRATED CARE BOARD</t>
  </si>
  <si>
    <t>RYX</t>
  </si>
  <si>
    <t>Central London Community Healthcare NHS Trust</t>
  </si>
  <si>
    <t>Hertfordshire and West Essex STP</t>
  </si>
  <si>
    <t>NHS HERTFORDSHIRE AND WEST ESSEX INTEGRATED CARE BOARD</t>
  </si>
  <si>
    <t>RQM</t>
  </si>
  <si>
    <t>Humber, Coast and Vale STP</t>
  </si>
  <si>
    <t>NHS HUMBER AND NORTH YORKSHIRE INTEGRATED CARE BOARD</t>
  </si>
  <si>
    <t>RYJ</t>
  </si>
  <si>
    <t>Imperial College Healthcare NHS Trust</t>
  </si>
  <si>
    <t>Joined Up Care Derbyshire STP</t>
  </si>
  <si>
    <t>NHS DERBY AND DERBYSHIRE INTEGRATED CARE BOARD</t>
  </si>
  <si>
    <t>R1K</t>
  </si>
  <si>
    <t>London North West University Healthcare NHS Trust</t>
  </si>
  <si>
    <t>Kent and Medway STP</t>
  </si>
  <si>
    <t>NHS KENT AND MEDWAY INTEGRATED CARE BOARD</t>
  </si>
  <si>
    <t>RT3</t>
  </si>
  <si>
    <t>Royal Brompton &amp; Harefield NHS Foundation Trust</t>
  </si>
  <si>
    <t>Leicester, Leicestershire and Rutland STP</t>
  </si>
  <si>
    <t>NHS LEICESTER, LEICESTERSHIRE AND RUTLAND INTEGRATED CARE BOARD</t>
  </si>
  <si>
    <t>RAS</t>
  </si>
  <si>
    <t>The Hillingdon Hospitals NHS Foundation Trust</t>
  </si>
  <si>
    <t>Lincolnshire STP</t>
  </si>
  <si>
    <t>NHS LINCOLNSHIRE INTEGRATED CARE BOARD</t>
  </si>
  <si>
    <t>E84068</t>
  </si>
  <si>
    <t>The Ridgeway Surgery</t>
  </si>
  <si>
    <t>Mid and South Essex STP</t>
  </si>
  <si>
    <t>NHS MID AND SOUTH ESSEX INTEGRATED CARE BOARD</t>
  </si>
  <si>
    <t>AD913</t>
  </si>
  <si>
    <t>Norfolk and Waveney Health &amp; Care Partnership (STP)</t>
  </si>
  <si>
    <t>NHS NORFOLK AND WAVENEY INTEGRATED CARE BOARD</t>
  </si>
  <si>
    <t>RJ1</t>
  </si>
  <si>
    <t>North London Partners In Health &amp; Care (STP)</t>
  </si>
  <si>
    <t>NHS NORTH CENTRAL LONDON INTEGRATED CARE BOARD</t>
  </si>
  <si>
    <t>RJZ</t>
  </si>
  <si>
    <t>North West London Health &amp; Care Partnership (STP)</t>
  </si>
  <si>
    <t>NHS NORTH WEST LONDON INTEGRATED CARE BOARD</t>
  </si>
  <si>
    <t>RJ2</t>
  </si>
  <si>
    <t>Northamptonshire STP</t>
  </si>
  <si>
    <t>NHS NORTHAMPTONSHIRE INTEGRATED CARE BOARD</t>
  </si>
  <si>
    <t>Y02147</t>
  </si>
  <si>
    <t>Urgent Care Centre</t>
  </si>
  <si>
    <t>Nottingham and Nottinghamshire Health and Care STP</t>
  </si>
  <si>
    <t>NHS NOTTINGHAM AND NOTTINGHAMSHIRE INTEGRATED CARE BOARD</t>
  </si>
  <si>
    <t>Y03201</t>
  </si>
  <si>
    <t>Waldron - Hurley Unregistered Practice</t>
  </si>
  <si>
    <t>Our Healthier South East London STP</t>
  </si>
  <si>
    <t>NHS SOUTH EAST LONDON INTEGRATED CARE BOARD</t>
  </si>
  <si>
    <t>RJ6</t>
  </si>
  <si>
    <t>Croydon Health Services NHS Trust</t>
  </si>
  <si>
    <t>Shropshire and Telford and Wrekin STP</t>
  </si>
  <si>
    <t>NHS SHROPSHIRE, TELFORD AND WREKIN INTEGRATED CARE BOARD</t>
  </si>
  <si>
    <t>NX122</t>
  </si>
  <si>
    <t>Edridge Road Community Health Centre</t>
  </si>
  <si>
    <t>Somerset STP</t>
  </si>
  <si>
    <t>NHS SOMERSET INTEGRATED CARE BOARD</t>
  </si>
  <si>
    <t>RVR</t>
  </si>
  <si>
    <t>South West London Health &amp; Care Partnership (STP)</t>
  </si>
  <si>
    <t>NHS SOUTH WEST LONDON INTEGRATED CARE BOARD</t>
  </si>
  <si>
    <t>RY9</t>
  </si>
  <si>
    <t>South Yorkshire and Bassetlaw STP</t>
  </si>
  <si>
    <t>NHS SOUTH YORKSHIRE INTEGRATED CARE BOARD</t>
  </si>
  <si>
    <t>RAX</t>
  </si>
  <si>
    <t>Kingston and Richmond NHS Foundation Trust</t>
  </si>
  <si>
    <t>Staffordshire and Stoke On Trent STP</t>
  </si>
  <si>
    <t>NHS STAFFORDSHIRE AND STOKE-ON-TRENT INTEGRATED CARE BOARD</t>
  </si>
  <si>
    <t>AF003</t>
  </si>
  <si>
    <t>Parkway Miu</t>
  </si>
  <si>
    <t>Suffolk and North East Essex STP</t>
  </si>
  <si>
    <t>NHS SUFFOLK AND NORTH EAST ESSEX INTEGRATED CARE BOARD</t>
  </si>
  <si>
    <t>AF002</t>
  </si>
  <si>
    <t>Purley Miu</t>
  </si>
  <si>
    <t>Surrey Heartlands Health &amp; Care Partnership (STP)</t>
  </si>
  <si>
    <t>NHS SURREY HEARTLANDS INTEGRATED CARE BOARD</t>
  </si>
  <si>
    <t>RJ7</t>
  </si>
  <si>
    <t>Sussex Health and Care Partnership STP</t>
  </si>
  <si>
    <t>NHS SUSSEX INTEGRATED CARE BOARD</t>
  </si>
  <si>
    <t>Y03094</t>
  </si>
  <si>
    <t>The Junction Hc - Unregistered Patients</t>
  </si>
  <si>
    <t>The Black Country and West Birmingham STP</t>
  </si>
  <si>
    <t>NHS BLACK COUNTRY INTEGRATED CARE BOARD</t>
  </si>
  <si>
    <t>RC9</t>
  </si>
  <si>
    <t>East of England Commissioning Region</t>
  </si>
  <si>
    <t>Bedfordshire Hospitals NHS Foundation Trust</t>
  </si>
  <si>
    <t>West Yorkshire (Health &amp; Care Partnership) STP</t>
  </si>
  <si>
    <t>NHS WEST YORKSHIRE INTEGRATED CARE BOARD</t>
  </si>
  <si>
    <t>RD8</t>
  </si>
  <si>
    <t>Milton Keynes University Hospital NHS Foundation Trust</t>
  </si>
  <si>
    <t>Y02428</t>
  </si>
  <si>
    <t>Putnoe Medical Centre Walk In Centre</t>
  </si>
  <si>
    <t>Midlands Commissioning Region</t>
  </si>
  <si>
    <t>M85813</t>
  </si>
  <si>
    <t>Birmingham Wic</t>
  </si>
  <si>
    <t>RQ3</t>
  </si>
  <si>
    <t>NTPAL</t>
  </si>
  <si>
    <t>Greet General Practice &amp; Urgent Care Centre</t>
  </si>
  <si>
    <t>RR1</t>
  </si>
  <si>
    <t>Heart of England NHS Foundation Trust</t>
  </si>
  <si>
    <t>RRK</t>
  </si>
  <si>
    <t>University Hospitals Birmingham NHS Foundation Trust</t>
  </si>
  <si>
    <t>RGT</t>
  </si>
  <si>
    <t>Cambridge University Hospitals NHS Foundation Trust</t>
  </si>
  <si>
    <t>RQQ</t>
  </si>
  <si>
    <t>Hinchingbrooke Health Care NHS Trust</t>
  </si>
  <si>
    <t>RGN</t>
  </si>
  <si>
    <t>RYG</t>
  </si>
  <si>
    <t>Coventry and Warwickshire Partnership NHS Trust</t>
  </si>
  <si>
    <t>RLT</t>
  </si>
  <si>
    <t>George Eliot Hospital NHS Trust</t>
  </si>
  <si>
    <t>Y02652</t>
  </si>
  <si>
    <t>NHS Coventry Healthcare &amp; Wic</t>
  </si>
  <si>
    <t>RJC</t>
  </si>
  <si>
    <t>South Warwickshire University NHS Foundation Trust</t>
  </si>
  <si>
    <t>RKB</t>
  </si>
  <si>
    <t>RWP</t>
  </si>
  <si>
    <t>Worcestershire Acute Hospitals NHS Trust</t>
  </si>
  <si>
    <t>RLQ</t>
  </si>
  <si>
    <t>Wye Valley NHS Trust</t>
  </si>
  <si>
    <t>RWH</t>
  </si>
  <si>
    <t>DT301</t>
  </si>
  <si>
    <t>RY4</t>
  </si>
  <si>
    <t>Hertfordshire Community NHS Trust</t>
  </si>
  <si>
    <t>RQW</t>
  </si>
  <si>
    <t>The Princess Alexandra Hospital NHS Trust</t>
  </si>
  <si>
    <t>RWG</t>
  </si>
  <si>
    <t>West Hertfordshire Teaching Hospitals NHS Trust</t>
  </si>
  <si>
    <t>RJF</t>
  </si>
  <si>
    <t>Burton Hospitals NHS Foundation Trust</t>
  </si>
  <si>
    <t>RFS</t>
  </si>
  <si>
    <t>Chesterfield Royal Hospital NHS Foundation Trust</t>
  </si>
  <si>
    <t>RTG</t>
  </si>
  <si>
    <t>University Hospitals Of Derby And Burton NHS Foundation Trust</t>
  </si>
  <si>
    <t>RY8</t>
  </si>
  <si>
    <t>Derbyshire Community Health Services NHS Foundation Trust</t>
  </si>
  <si>
    <t>NNJ0H</t>
  </si>
  <si>
    <t>NNJ</t>
  </si>
  <si>
    <t>Derbyshire Health United Ltd</t>
  </si>
  <si>
    <t>C82038</t>
  </si>
  <si>
    <t>Latham House Medical Practice</t>
  </si>
  <si>
    <t>NNJ07</t>
  </si>
  <si>
    <t>Loughborough Urgent Care Centre</t>
  </si>
  <si>
    <t>C82009</t>
  </si>
  <si>
    <t>Market Harborough Med.Ctr</t>
  </si>
  <si>
    <t>NNJ12</t>
  </si>
  <si>
    <t>Market Harborough Urgent Care Centre</t>
  </si>
  <si>
    <t>NNJ13</t>
  </si>
  <si>
    <t>Melton Mowbray Urgent Care Centre</t>
  </si>
  <si>
    <t>NNJ14</t>
  </si>
  <si>
    <t>Oadby &amp; Wigston Urgent Care Centre</t>
  </si>
  <si>
    <t>C82010</t>
  </si>
  <si>
    <t>Oakham Medical Practice</t>
  </si>
  <si>
    <t>NNJ15</t>
  </si>
  <si>
    <t>Oakham Urgent Care Centre</t>
  </si>
  <si>
    <t>Y02470</t>
  </si>
  <si>
    <t>Ssafa Care Walk-In-Centre</t>
  </si>
  <si>
    <t>RWE</t>
  </si>
  <si>
    <t>RY5</t>
  </si>
  <si>
    <t>Lincolnshire Community Health Services NHS Trust</t>
  </si>
  <si>
    <t>C83023</t>
  </si>
  <si>
    <t>Sleaford Medical Group</t>
  </si>
  <si>
    <t>RWD</t>
  </si>
  <si>
    <t>United Lincolnshire Teaching Hospitals NHS Trust</t>
  </si>
  <si>
    <t>RAJ</t>
  </si>
  <si>
    <t>Mid and South Essex NHS Foundation Trust</t>
  </si>
  <si>
    <t>NAX</t>
  </si>
  <si>
    <t>East Coast Community Healthcare C.I.C</t>
  </si>
  <si>
    <t>RGP</t>
  </si>
  <si>
    <t>James Paget University Hospitals NHS Foundation Trust</t>
  </si>
  <si>
    <t>RM1</t>
  </si>
  <si>
    <t>NMH01</t>
  </si>
  <si>
    <t>Norwich Practices Ltd (Castle Mall)</t>
  </si>
  <si>
    <t>RCX</t>
  </si>
  <si>
    <t>Y03571</t>
  </si>
  <si>
    <t>Corby Urgent Care Centre</t>
  </si>
  <si>
    <t>RNQ</t>
  </si>
  <si>
    <t>Kettering General Hospital NHS Foundation Trust</t>
  </si>
  <si>
    <t>RNS</t>
  </si>
  <si>
    <t>Northampton General Hospital NHS Trust</t>
  </si>
  <si>
    <t>A5D4Q</t>
  </si>
  <si>
    <t>NEMS UTC</t>
  </si>
  <si>
    <t>NR3</t>
  </si>
  <si>
    <t>Nottingham Citycare Partnership</t>
  </si>
  <si>
    <t>RX1</t>
  </si>
  <si>
    <t>Nottingham University Hospitals NHS Trust</t>
  </si>
  <si>
    <t>RK5</t>
  </si>
  <si>
    <t>Sherwood Forest Hospitals NHS Foundation Trust</t>
  </si>
  <si>
    <t>RXW</t>
  </si>
  <si>
    <t>The Shrewsbury And Telford Hospital NHS Trust</t>
  </si>
  <si>
    <t>R1D</t>
  </si>
  <si>
    <t>Shropshire Community Health NHS Trust</t>
  </si>
  <si>
    <t>RL1</t>
  </si>
  <si>
    <t>RJE</t>
  </si>
  <si>
    <t>NQ108</t>
  </si>
  <si>
    <t>Clacton Hospital</t>
  </si>
  <si>
    <t>RDE</t>
  </si>
  <si>
    <t>East Suffolk And North Essex NHS Foundation Trust</t>
  </si>
  <si>
    <t>NQ106</t>
  </si>
  <si>
    <t>Fryatt Hospital</t>
  </si>
  <si>
    <t>RGQ</t>
  </si>
  <si>
    <t>Ipswich Hospital NHS Trust</t>
  </si>
  <si>
    <t>RGR</t>
  </si>
  <si>
    <t>West Suffolk NHS Foundation Trust</t>
  </si>
  <si>
    <t>RXK</t>
  </si>
  <si>
    <t>RNA</t>
  </si>
  <si>
    <t>The Dudley Group NHS Foundation Trust</t>
  </si>
  <si>
    <t>RL4</t>
  </si>
  <si>
    <t>The Royal Wolverhampton NHS Trust</t>
  </si>
  <si>
    <t>RBK</t>
  </si>
  <si>
    <t>Walsall Healthcare NHS Trust</t>
  </si>
  <si>
    <t>ATQ02</t>
  </si>
  <si>
    <t>Walsall Urgent Care Centre (Community Site)</t>
  </si>
  <si>
    <t>RTV</t>
  </si>
  <si>
    <t>North West Commissioning Region</t>
  </si>
  <si>
    <t>5 Boroughs Partnership NHS Foundation Trust</t>
  </si>
  <si>
    <t>RBS</t>
  </si>
  <si>
    <t>RJR</t>
  </si>
  <si>
    <t>RJN</t>
  </si>
  <si>
    <t>East Cheshire NHS Trust</t>
  </si>
  <si>
    <t>RY1</t>
  </si>
  <si>
    <t>Liverpool Community Health NHS Trust</t>
  </si>
  <si>
    <t>RBQ</t>
  </si>
  <si>
    <t>REP</t>
  </si>
  <si>
    <t>RW4</t>
  </si>
  <si>
    <t>Mersey Care NHS Foundation Trust</t>
  </si>
  <si>
    <t>RBT</t>
  </si>
  <si>
    <t>Mid Cheshire Hospitals NHS Foundation Trust</t>
  </si>
  <si>
    <t>Y02532</t>
  </si>
  <si>
    <t>REM</t>
  </si>
  <si>
    <t>Liverpool University Hospitals NHS Foundation Trust</t>
  </si>
  <si>
    <t>RVY</t>
  </si>
  <si>
    <t>Southport and Ormskirk Hospital NHS Trust</t>
  </si>
  <si>
    <t>RBN</t>
  </si>
  <si>
    <t>Mersey And West Lancashire Teaching Hospitals NHS Trust</t>
  </si>
  <si>
    <t>RET</t>
  </si>
  <si>
    <t>The Walton Centre NHS Foundation Trust</t>
  </si>
  <si>
    <t>RWW</t>
  </si>
  <si>
    <t>RY7</t>
  </si>
  <si>
    <t>Wirral Community NHS Foundation Trust</t>
  </si>
  <si>
    <t>RBL</t>
  </si>
  <si>
    <t>Wirral University Teaching Hospital NHS Foundation Trust</t>
  </si>
  <si>
    <t>RLN</t>
  </si>
  <si>
    <t>North East and Yorkshire Commissioning Region</t>
  </si>
  <si>
    <t>City Hospitals Sunderland NHS Foundation Trust</t>
  </si>
  <si>
    <t>RXP</t>
  </si>
  <si>
    <t>RNN</t>
  </si>
  <si>
    <t>North Cumbria Integrated Care NHS Foundation Trust</t>
  </si>
  <si>
    <t>RR7</t>
  </si>
  <si>
    <t>Gateshead Health NHS Foundation Trust</t>
  </si>
  <si>
    <t>RVW</t>
  </si>
  <si>
    <t>RTF</t>
  </si>
  <si>
    <t>Northumbria Healthcare NHS Foundation Trust</t>
  </si>
  <si>
    <t>RTR</t>
  </si>
  <si>
    <t>South Tees Hospitals NHS Foundation Trust</t>
  </si>
  <si>
    <t>R0B</t>
  </si>
  <si>
    <t>South Tyneside and Sunderland NHS Foundation Trust</t>
  </si>
  <si>
    <t>NLO01</t>
  </si>
  <si>
    <t>Sunderland Gp Out of Hours</t>
  </si>
  <si>
    <t>RTD</t>
  </si>
  <si>
    <t>The Newcastle Upon Tyne Hospitals NHS Foundation Trust</t>
  </si>
  <si>
    <t>AJN</t>
  </si>
  <si>
    <t>Workington Health Limited</t>
  </si>
  <si>
    <t>RMC</t>
  </si>
  <si>
    <t>Bolton NHS Foundation Trust</t>
  </si>
  <si>
    <t>RW3</t>
  </si>
  <si>
    <t>Central Manchester University Hospitals NHS Foundation Trust</t>
  </si>
  <si>
    <t>Y02875</t>
  </si>
  <si>
    <t>Lindley House Health Centre</t>
  </si>
  <si>
    <t>R0A</t>
  </si>
  <si>
    <t>Manchester University NHS Foundation Trust</t>
  </si>
  <si>
    <t>RW6</t>
  </si>
  <si>
    <t>Pennine Acute Hospitals NHS Trust</t>
  </si>
  <si>
    <t>RT2</t>
  </si>
  <si>
    <t>Pennine Care NHS Foundation Trust</t>
  </si>
  <si>
    <t>RM3</t>
  </si>
  <si>
    <t>Salford Royal NHS Foundation Trust</t>
  </si>
  <si>
    <t>RWJ</t>
  </si>
  <si>
    <t>Stockport NHS Foundation Trust</t>
  </si>
  <si>
    <t>RMP</t>
  </si>
  <si>
    <t>RBV</t>
  </si>
  <si>
    <t>The Christie NHS Foundation Trust</t>
  </si>
  <si>
    <t>RM2</t>
  </si>
  <si>
    <t>University Hospital of South Manchester NHS Foundation Trust</t>
  </si>
  <si>
    <t>RRF</t>
  </si>
  <si>
    <t>RXL</t>
  </si>
  <si>
    <t>Blackpool Teaching Hospitals NHS Foundation Trust</t>
  </si>
  <si>
    <t>RXR</t>
  </si>
  <si>
    <t>East Lancashire Hospitals NHS Trust</t>
  </si>
  <si>
    <t>RXN</t>
  </si>
  <si>
    <t>Lancashire Teaching Hospitals NHS Foundation Trust</t>
  </si>
  <si>
    <t>NV693</t>
  </si>
  <si>
    <t xml:space="preserve">Rossendale MIU &amp; OOH </t>
  </si>
  <si>
    <t>NQT5F</t>
  </si>
  <si>
    <t>Skelmersdale Walk In Centre</t>
  </si>
  <si>
    <t>RTX</t>
  </si>
  <si>
    <t>NNF70</t>
  </si>
  <si>
    <t>Alfred Bean Hospital</t>
  </si>
  <si>
    <t>NNF09</t>
  </si>
  <si>
    <t>Bransholme Health Centre</t>
  </si>
  <si>
    <t>NNF16</t>
  </si>
  <si>
    <t>Bridlington Hospital</t>
  </si>
  <si>
    <t>NNF94</t>
  </si>
  <si>
    <t>East Riding Community Hospital</t>
  </si>
  <si>
    <t>NNF28</t>
  </si>
  <si>
    <t>Freedom Centre</t>
  </si>
  <si>
    <t>NNFA7</t>
  </si>
  <si>
    <t>Goole &amp; District Hospital</t>
  </si>
  <si>
    <t>NNF99</t>
  </si>
  <si>
    <t xml:space="preserve">Hornsea Cottage Hospital </t>
  </si>
  <si>
    <t>RWA</t>
  </si>
  <si>
    <t>Hull University Teaching Hospitals NHS Trust</t>
  </si>
  <si>
    <t>RV9</t>
  </si>
  <si>
    <t>Humber NHS Foundation Trust</t>
  </si>
  <si>
    <t>RJL</t>
  </si>
  <si>
    <t>NNF76</t>
  </si>
  <si>
    <t>The Wilberforce Health Centre</t>
  </si>
  <si>
    <t>NNF18</t>
  </si>
  <si>
    <t>Withernsea Hospital</t>
  </si>
  <si>
    <t>RCB</t>
  </si>
  <si>
    <t>York And Scarborough Teaching Hospitals NHS Foundation Trust</t>
  </si>
  <si>
    <t>RFF</t>
  </si>
  <si>
    <t>Barnsley Hospital NHS Foundation Trust</t>
  </si>
  <si>
    <t>RP5</t>
  </si>
  <si>
    <t>RCU</t>
  </si>
  <si>
    <t>RHQ</t>
  </si>
  <si>
    <t>Sheffield Teaching Hospitals NHS Foundation Trust</t>
  </si>
  <si>
    <t>RFR</t>
  </si>
  <si>
    <t>The Rotherham NHS Foundation Trust</t>
  </si>
  <si>
    <t>RCF</t>
  </si>
  <si>
    <t>Airedale NHS Foundation Trust</t>
  </si>
  <si>
    <t>RAE</t>
  </si>
  <si>
    <t>Bradford Teaching Hospitals NHS Foundation Trust</t>
  </si>
  <si>
    <t>RWY</t>
  </si>
  <si>
    <t>RCD</t>
  </si>
  <si>
    <t>ARN02</t>
  </si>
  <si>
    <t>Lcd-Leeds-Ooh</t>
  </si>
  <si>
    <t>RR8</t>
  </si>
  <si>
    <t>Leeds Teaching Hospitals NHS Trust</t>
  </si>
  <si>
    <t>ARN03</t>
  </si>
  <si>
    <t>Local Care Direct Ooh</t>
  </si>
  <si>
    <t>RXF</t>
  </si>
  <si>
    <t>Mid Yorkshire Teaching NHS Trust</t>
  </si>
  <si>
    <t>Y02572</t>
  </si>
  <si>
    <t xml:space="preserve">Park Community Practice </t>
  </si>
  <si>
    <t>AXT02</t>
  </si>
  <si>
    <t>Shakespeare Walk-In Centre</t>
  </si>
  <si>
    <t>RXG</t>
  </si>
  <si>
    <t>South West Yorkshire Partnership NHS Foundation Trust</t>
  </si>
  <si>
    <t>Y00058</t>
  </si>
  <si>
    <t>South West Commissioning Region</t>
  </si>
  <si>
    <t>Carfax Health Enterprise</t>
  </si>
  <si>
    <t>RN3</t>
  </si>
  <si>
    <t>Great Western Hospitals NHS Foundation Trust</t>
  </si>
  <si>
    <t>NLX02</t>
  </si>
  <si>
    <t>Paulton Memorial Hospital</t>
  </si>
  <si>
    <t>NQT5H</t>
  </si>
  <si>
    <t>RD1</t>
  </si>
  <si>
    <t>Royal United Hospitals Bath NHS Foundation Trust</t>
  </si>
  <si>
    <t>RNZ</t>
  </si>
  <si>
    <t>Salisbury NHS Foundation Trust</t>
  </si>
  <si>
    <t>Y02666</t>
  </si>
  <si>
    <t>Salisbury Walk-In Hc</t>
  </si>
  <si>
    <t>AXG</t>
  </si>
  <si>
    <t>Wiltshire Health and Care</t>
  </si>
  <si>
    <t>NLX</t>
  </si>
  <si>
    <t>Sirona Health Care</t>
  </si>
  <si>
    <t>RVJ</t>
  </si>
  <si>
    <t>North Bristol NHS Trust</t>
  </si>
  <si>
    <t>RA7</t>
  </si>
  <si>
    <t>University Hospitals Bristol and Weston NHS Foundation Trust</t>
  </si>
  <si>
    <t>NLX24</t>
  </si>
  <si>
    <t>Yate West Gate Centre</t>
  </si>
  <si>
    <t>NQT10</t>
  </si>
  <si>
    <t>South East Commissioning Region</t>
  </si>
  <si>
    <t>Assura Reading Llp</t>
  </si>
  <si>
    <t>RWX</t>
  </si>
  <si>
    <t>Berkshire Healthcare NHS Foundation Trust</t>
  </si>
  <si>
    <t>RXQ</t>
  </si>
  <si>
    <t>Buckinghamshire Healthcare NHS Trust</t>
  </si>
  <si>
    <t>RNU</t>
  </si>
  <si>
    <t>Oxford Health NHS Foundation Trust</t>
  </si>
  <si>
    <t>RTH</t>
  </si>
  <si>
    <t>Oxford University Hospitals NHS Foundation Trust</t>
  </si>
  <si>
    <t>RHW</t>
  </si>
  <si>
    <t>Royal Berkshire NHS Foundation Trust</t>
  </si>
  <si>
    <t>RJ8</t>
  </si>
  <si>
    <t>Cornwall Partnership NHS Foundation Trust</t>
  </si>
  <si>
    <t>REF</t>
  </si>
  <si>
    <t>Royal Cornwall Hospitals NHS Trust</t>
  </si>
  <si>
    <t>DD401</t>
  </si>
  <si>
    <t>Exmouth Minor Injury Unit</t>
  </si>
  <si>
    <t>NR5</t>
  </si>
  <si>
    <t>Livewell Southwest</t>
  </si>
  <si>
    <t>RBZ</t>
  </si>
  <si>
    <t>Northern Devon Healthcare NHS Trust</t>
  </si>
  <si>
    <t>L83087</t>
  </si>
  <si>
    <t>Okehampton Medical Centre</t>
  </si>
  <si>
    <t>RK9</t>
  </si>
  <si>
    <t>University Hospitals Plymouth NHS Trust</t>
  </si>
  <si>
    <t>RH8</t>
  </si>
  <si>
    <t>Royal Devon University Healthcare NHS Foundation Trust</t>
  </si>
  <si>
    <t>RA9</t>
  </si>
  <si>
    <t>RBD</t>
  </si>
  <si>
    <t>Dorset County Hospital NHS Foundation Trust</t>
  </si>
  <si>
    <t>RDY</t>
  </si>
  <si>
    <t>Dorset Healthcare University NHS Foundation Trust</t>
  </si>
  <si>
    <t>RYF</t>
  </si>
  <si>
    <t>South Western Ambulance Service NHS Foundation Trust</t>
  </si>
  <si>
    <t>R0D</t>
  </si>
  <si>
    <t>University Hospitals Dorset NHS Foundation Trust</t>
  </si>
  <si>
    <t>Y02584</t>
  </si>
  <si>
    <t>Walk In Centre</t>
  </si>
  <si>
    <t>Y04538</t>
  </si>
  <si>
    <t>Bracknell Urgent Care Centre Wic</t>
  </si>
  <si>
    <t>Y00751</t>
  </si>
  <si>
    <t>East Berks Primary Care Ooh</t>
  </si>
  <si>
    <t>RDU</t>
  </si>
  <si>
    <t>Frimley Health NHS Foundation Trust</t>
  </si>
  <si>
    <t>RTQ</t>
  </si>
  <si>
    <t>Gloucestershire Health and Care NHS Foundation Trust</t>
  </si>
  <si>
    <t>RTE</t>
  </si>
  <si>
    <t>Gloucestershire Hospitals NHS Foundation Trust</t>
  </si>
  <si>
    <t>AAH</t>
  </si>
  <si>
    <t>Tetbury Hospital Trust Ltd</t>
  </si>
  <si>
    <t>RN5</t>
  </si>
  <si>
    <t>Hampshire Hospitals NHS Foundation Trust</t>
  </si>
  <si>
    <t>R1F</t>
  </si>
  <si>
    <t>RHU</t>
  </si>
  <si>
    <t>Portsmouth Hospitals University National Health Service Trust</t>
  </si>
  <si>
    <t>AQN04</t>
  </si>
  <si>
    <t>PHL LYMINGTON UTC</t>
  </si>
  <si>
    <t>NTP11</t>
  </si>
  <si>
    <t>Southampton NHS Treatment Centre</t>
  </si>
  <si>
    <t>RW1</t>
  </si>
  <si>
    <t>Southern Health NHS Foundation Trust</t>
  </si>
  <si>
    <t>NTPAD</t>
  </si>
  <si>
    <t>RHM</t>
  </si>
  <si>
    <t>University Hospital Southampton NHS Foundation Trust</t>
  </si>
  <si>
    <t>RN7</t>
  </si>
  <si>
    <t>ACH01</t>
  </si>
  <si>
    <t>RVV</t>
  </si>
  <si>
    <t>East Kent Hospitals University NHS Foundation Trust</t>
  </si>
  <si>
    <t>RYY</t>
  </si>
  <si>
    <t>Kent Community Health NHS Foundation Trust</t>
  </si>
  <si>
    <t>RWF</t>
  </si>
  <si>
    <t>RPA</t>
  </si>
  <si>
    <t>Medway NHS Foundation Trust</t>
  </si>
  <si>
    <t>RH5</t>
  </si>
  <si>
    <t>Somerset NHS Foundation Trust</t>
  </si>
  <si>
    <t>RA4</t>
  </si>
  <si>
    <t>Yeovil District Hospital NHS Foundation Trust</t>
  </si>
  <si>
    <t>RTK</t>
  </si>
  <si>
    <t>Y02688</t>
  </si>
  <si>
    <t>Ashford Health Centre</t>
  </si>
  <si>
    <t>NTV0b</t>
  </si>
  <si>
    <t>Ashford Walk-In-Centre</t>
  </si>
  <si>
    <t>NDA57</t>
  </si>
  <si>
    <t>Haslemere Minor Injuries Unit</t>
  </si>
  <si>
    <t>RA2</t>
  </si>
  <si>
    <t>Royal Surrey County Hospital NHS Foundation Trust</t>
  </si>
  <si>
    <t>NDA56</t>
  </si>
  <si>
    <t>Weybridge Walk In Centre</t>
  </si>
  <si>
    <t>NTV1M</t>
  </si>
  <si>
    <t>NTV0W</t>
  </si>
  <si>
    <t>NDA55</t>
  </si>
  <si>
    <t>Woking Walk In Centre</t>
  </si>
  <si>
    <t>RTP</t>
  </si>
  <si>
    <t>Y02676</t>
  </si>
  <si>
    <t>RXC</t>
  </si>
  <si>
    <t>East Sussex Healthcare NHS Trust</t>
  </si>
  <si>
    <t>Y02816</t>
  </si>
  <si>
    <t>Eastbourne Station Health Centre</t>
  </si>
  <si>
    <t>NDJ</t>
  </si>
  <si>
    <t>RPC</t>
  </si>
  <si>
    <t>Queen Victoria Hospital NHS Foundation Trust</t>
  </si>
  <si>
    <t>RDR</t>
  </si>
  <si>
    <t>Sussex Community NHS Foundation Trust</t>
  </si>
  <si>
    <t>RYR</t>
  </si>
  <si>
    <t>Western Sussex Hospitals NHS Foundation Trust</t>
  </si>
  <si>
    <t>The total of booked and non-booked A&amp;E attendances, as well as emergency admissions and headline 4-hour performance.
Please see the Supplementary ECDS Analysis file for further breakdowns of A&amp;E attendance data, this can be found published below this file on the NHS England Website, this provides attendance data split by age groups, gender, ethnicity, chief complaint and provides a data completeness and quality fact sheet.</t>
  </si>
  <si>
    <t>Provider Level Data</t>
  </si>
  <si>
    <t>A&amp;E attendances less than 4 hours from arrival to admission, transfer or discharge</t>
  </si>
  <si>
    <t>A&amp;E attendances greater than 4 hours from arrival to admission, transfer or discharge</t>
  </si>
  <si>
    <t>Region</t>
  </si>
  <si>
    <t>England</t>
  </si>
  <si>
    <t xml:space="preserve">A&amp;E Booked Appointment Attendances  </t>
  </si>
  <si>
    <t>A&amp;E booked appointment attendances and performance at an Urgent Treatment Centre made in advance via NHS 111.
Please see the Supplementary ECDS Analysis file for further breakdowns of A&amp;E attendance data, this can be found published below this file on the NHS England Website, this provides attendance data split by age groups, gender, ethnicity, chief complaint and provides a data completeness and quality fact sheet.</t>
  </si>
  <si>
    <t>A&amp;E Booked Appointment attendances</t>
  </si>
  <si>
    <t>A&amp;E Booked Appointments attendances greater than 4 hours from arrival to admission, transfer or discharge</t>
  </si>
  <si>
    <t xml:space="preserve">A&amp;E Booked Appointments Performance </t>
  </si>
  <si>
    <t>A&amp;E Booked Appointment attendances less than 4 hours from arrival to admission, transfer or discharge</t>
  </si>
  <si>
    <t>Booked Appointment Attendances &gt; 4 hours</t>
  </si>
  <si>
    <t>Percentage in 4 hours or less (all) (Booked Appointments Only)</t>
  </si>
  <si>
    <t>Percentage in 4 hours or less (type 1) (Booked Appointments Only)</t>
  </si>
  <si>
    <t>Percentage in 4 hours or less (type 2) (Booked Appointments Only)</t>
  </si>
  <si>
    <t>Percentage in 4 hours or less (type 3) (Booked Appointments Only)</t>
  </si>
  <si>
    <t>Percentage in 4 hours or less (All types excluding Booked Appointments)</t>
  </si>
  <si>
    <t>Percentage in 4 hours or less (All types including Booked Appointments)</t>
  </si>
  <si>
    <t>Total under 4 hour all types</t>
  </si>
  <si>
    <t>Total under 4 hours + booked appointments</t>
  </si>
  <si>
    <t>Over 4 hours all types</t>
  </si>
  <si>
    <t>Over 4 hours + booked</t>
  </si>
  <si>
    <t>A&amp;E Attendances monthly statistics, Acute NHS Trusts in England</t>
  </si>
  <si>
    <t>The total of booked and non-booked A&amp;E attendances, as well as emergency admissions and headline 4-hour performance for acute trusts, with local type 3 activity included. Activity from type 3 providers within the acute trust footprint has been attributed to the acute trusts, the attribution has been agreed between ICBs and NHS England Regional teams and can be found updated each month on the publication page.  
Please see the Supplementary ECDS Analysis file for further breakdowns of A&amp;E attendance data, this can be found published below this file on the NHS England Website, this provides attendance data split by age groups, gender, ethnicity, chief complaint and provides a data completeness and quality fact sheet.</t>
  </si>
  <si>
    <t>Acute Trust Footprint Data</t>
  </si>
  <si>
    <t>Of which is additional mapped type 3 activity</t>
  </si>
  <si>
    <t>A&amp;E Performance</t>
  </si>
  <si>
    <t>A&amp;E attendances &gt; 4 hours</t>
  </si>
  <si>
    <t>Percentage in 4 hours or less (type 1) before mapping</t>
  </si>
  <si>
    <t>Percentage in 4 hours or less (all) before mapping</t>
  </si>
  <si>
    <t>Percentage in 4 hours or less (all) with additional mapped activity</t>
  </si>
  <si>
    <t>East And North Hertfordshire NHS Trust</t>
  </si>
  <si>
    <t>Norfolk And Norwich University Hospitals NHS Foundation Trust</t>
  </si>
  <si>
    <t>North West Anglia NHS Foundation Trust</t>
  </si>
  <si>
    <t>The Queen Elizabeth Hospital, King's Lynn, NHS Foundation Trust</t>
  </si>
  <si>
    <t>Barking, Havering And Redbridge University Hospitals NHS Trust</t>
  </si>
  <si>
    <t>Chelsea And Westminster Hospital NHS Foundation Trust</t>
  </si>
  <si>
    <t>Epsom And St Helier University Hospitals NHS Trust</t>
  </si>
  <si>
    <t>Guy's And St Thomas' NHS Foundation Trust</t>
  </si>
  <si>
    <t>King's College Hospital NHS Foundation Trust</t>
  </si>
  <si>
    <t>Lewisham And Greenwich NHS Trust</t>
  </si>
  <si>
    <t>St George's University Hospitals NHS Foundation Trust</t>
  </si>
  <si>
    <t>Whittington Health NHS Trust</t>
  </si>
  <si>
    <t>Birmingham Women's And Children's NHS Foundation Trust</t>
  </si>
  <si>
    <t>Sandwell And West Birmingham Hospitals NHS Trust</t>
  </si>
  <si>
    <t>University Hospitals Coventry And Warwickshire NHS Trust</t>
  </si>
  <si>
    <t>University Hospitals Of Leicester NHS Trust</t>
  </si>
  <si>
    <t>University Hospitals Of North Midlands NHS Trust</t>
  </si>
  <si>
    <t>Calderdale And Huddersfield NHS Foundation Trust</t>
  </si>
  <si>
    <t>County Durham And Darlington NHS Foundation Trust</t>
  </si>
  <si>
    <t>Doncaster And Bassetlaw Teaching Hospitals NHS Foundation Trust</t>
  </si>
  <si>
    <t>Harrogate And District NHS Foundation Trust</t>
  </si>
  <si>
    <t>North Tees And Hartlepool NHS Foundation Trust</t>
  </si>
  <si>
    <t>Northern Lincolnshire And Goole NHS Foundation Trust</t>
  </si>
  <si>
    <t>Sheffield Children's NHS Foundation Trust</t>
  </si>
  <si>
    <t>Alder Hey Children's NHS Foundation Trust</t>
  </si>
  <si>
    <t>Countess Of Chester Hospital NHS Foundation Trust</t>
  </si>
  <si>
    <t>Liverpool Women's NHS Foundation Trust</t>
  </si>
  <si>
    <t>Northern Care Alliance NHS Foundation Trust</t>
  </si>
  <si>
    <t>Mersey and West Lancashire Teaching Hospitals NHS Trust</t>
  </si>
  <si>
    <t>Tameside And Glossop Integrated Care NHS Foundation Trust</t>
  </si>
  <si>
    <t>University Hospitals Of Morecambe Bay NHS Foundation Trust</t>
  </si>
  <si>
    <t>Wrightington, Wigan And Leigh NHS Foundation Trust</t>
  </si>
  <si>
    <t>Ashford And St Peter's Hospitals NHS Foundation Trust</t>
  </si>
  <si>
    <t>Dartford And Gravesham NHS Trust</t>
  </si>
  <si>
    <t>Isle Of Wight NHS Trust</t>
  </si>
  <si>
    <t>Maidstone And Tunbridge Wells NHS Trust</t>
  </si>
  <si>
    <t>Surrey And Sussex Healthcare NHS Trust</t>
  </si>
  <si>
    <t>University Hospitals Sussex NHS Foundation Trust</t>
  </si>
  <si>
    <t>Torbay And South Devon NHS Foundation Trust</t>
  </si>
  <si>
    <t/>
  </si>
  <si>
    <t>vlookup ref</t>
  </si>
  <si>
    <t>Acute Code</t>
  </si>
  <si>
    <t>Acute trust 1</t>
  </si>
  <si>
    <t>Proportion of Attends Acute 1</t>
  </si>
  <si>
    <t>East Suffolk and North Essex NHS Foundation Trust </t>
  </si>
  <si>
    <t>Herts Urgent Care (Ascots Lane)</t>
  </si>
  <si>
    <t>East &amp; North Hertfordshire</t>
  </si>
  <si>
    <t>West Hertfordshire Hospitals NHS Trust</t>
  </si>
  <si>
    <t>NHS England London</t>
  </si>
  <si>
    <t>Homerton University Hospital NHS Foundation Trust</t>
  </si>
  <si>
    <t>Beckenham Beacon Ucc</t>
  </si>
  <si>
    <t>London North West Healthcare NHS Trust</t>
  </si>
  <si>
    <t>Hounslow And Richmond Community Healthcare NHS Trust</t>
  </si>
  <si>
    <t>Shrewsbury And Telford Hospital NHS Trust</t>
  </si>
  <si>
    <t>South Warwickshire NHS Foundation Trust</t>
  </si>
  <si>
    <t>THE PINN UNREGISTERED WIC</t>
  </si>
  <si>
    <t>University Hospitals of Derby and Burton NHS Foundation Trust </t>
  </si>
  <si>
    <t>Hull And East Yorkshire Hospitals NHS Trust</t>
  </si>
  <si>
    <t>Mid Yorkshire Hospitals NHS Trust</t>
  </si>
  <si>
    <t>LLR EA - The Merlyn Vaz Health &amp; Social Care Centre</t>
  </si>
  <si>
    <t>York Teaching Hospital NHS Foundation Trust</t>
  </si>
  <si>
    <t>Southport And Ormskirk Hospital NHS Trust</t>
  </si>
  <si>
    <t>St Helens And Knowsley Hospital Services NHS Trust</t>
  </si>
  <si>
    <t>Brighton And Sussex University Hospitals NHS Trust</t>
  </si>
  <si>
    <t>RXH</t>
  </si>
  <si>
    <t>Portsmouth Hospitals NHS Trust</t>
  </si>
  <si>
    <t>Plymouth Hospitals NHS Trust</t>
  </si>
  <si>
    <t>Royal Devon And Exeter NHS Foundation Trust</t>
  </si>
  <si>
    <t xml:space="preserve">MIRIAM MINOR EMERGENCY </t>
  </si>
  <si>
    <t>NTV0B</t>
  </si>
  <si>
    <t>Brighton Station Walk in Centre</t>
  </si>
  <si>
    <t>First Community Health and Care CIC</t>
  </si>
  <si>
    <t>Hampshire and Isle of Wight Healthcare NHS Foundation Trust</t>
  </si>
  <si>
    <t>St Mary's NHS Treatment Centre</t>
  </si>
  <si>
    <t>Whitstable Medical Practice</t>
  </si>
  <si>
    <t>system</t>
  </si>
  <si>
    <t>system v provider</t>
  </si>
  <si>
    <t xml:space="preserve">Provider check </t>
  </si>
  <si>
    <t>Provider v Acute Footprint</t>
  </si>
  <si>
    <t>RAP</t>
  </si>
  <si>
    <t>North Middlesex University Hospital NHS Trust</t>
  </si>
  <si>
    <t>East London Health &amp; CarePartnership (STP)</t>
  </si>
  <si>
    <t>Chippenham Community Hospital</t>
  </si>
  <si>
    <t>Trowbridge Minor Injuries Unit</t>
  </si>
  <si>
    <t>Faversham Medical Practice MIU</t>
  </si>
  <si>
    <t>AQM01</t>
  </si>
  <si>
    <t>NQT1I</t>
  </si>
  <si>
    <t>G3P9C</t>
  </si>
  <si>
    <t>Herne Bay Health Care LTD</t>
  </si>
  <si>
    <t>DJV01</t>
  </si>
  <si>
    <t>Herne Bay Health Care Ltd</t>
  </si>
  <si>
    <t>NVE43</t>
  </si>
  <si>
    <t>Hastings GP Led Health Centre</t>
  </si>
  <si>
    <t>NNJ11</t>
  </si>
  <si>
    <t>Enderby Leisure Centre</t>
  </si>
  <si>
    <t>Lutterworth Hospital</t>
  </si>
  <si>
    <t>NNJ10</t>
  </si>
  <si>
    <t>NHS Central East Integrated Care Board  </t>
  </si>
  <si>
    <t>NHS Essex Integrated Care Board</t>
  </si>
  <si>
    <t>Mid And South Essex NHS Foundation Trust</t>
  </si>
  <si>
    <t>NHS Norfolk and Suffolk Integrated Care Board</t>
  </si>
  <si>
    <t>NHS West and North London Integrated Care Board</t>
  </si>
  <si>
    <t>The Pinn Unregistered Wic</t>
  </si>
  <si>
    <t>Dhu Health Care C.I.C</t>
  </si>
  <si>
    <t>Llr Ea - The Merlyn Vaz Health &amp; Social Care Centre</t>
  </si>
  <si>
    <t>Market Harborough</t>
  </si>
  <si>
    <t>Melton Mowbray</t>
  </si>
  <si>
    <t>Oadby</t>
  </si>
  <si>
    <t>Oakham</t>
  </si>
  <si>
    <t>The Robert Jones And Agnes Hunt Orthopaedic Hospital NHS Foundation Trust</t>
  </si>
  <si>
    <t>Liverpool Heart And Chest Hospital NHS Foundation Trust</t>
  </si>
  <si>
    <t>Miriam Minor Emergency</t>
  </si>
  <si>
    <t>Wirral Community Health And Care NHS Foundation Trust</t>
  </si>
  <si>
    <t>Humber Teaching NHS Foundation Trust</t>
  </si>
  <si>
    <t>Rossendale Miu &amp; Ooh</t>
  </si>
  <si>
    <t>South Tyneside And Sunderland NHS Foundation Trust</t>
  </si>
  <si>
    <t>Local Care Direct</t>
  </si>
  <si>
    <t>Sirona Care &amp; Health</t>
  </si>
  <si>
    <t>NHS Thames Valley Integrated Care Board</t>
  </si>
  <si>
    <t>Gloucestershire Health And Care NHS Foundation Trust</t>
  </si>
  <si>
    <t>Phl Lymington Utc</t>
  </si>
  <si>
    <t>Practice Plus Group Hospital - Southampton</t>
  </si>
  <si>
    <t>Practice Plus Group Surgical Centre - St Marys Portsmouth</t>
  </si>
  <si>
    <t xml:space="preserve">AQM01 </t>
  </si>
  <si>
    <t>NHS Surrey and Sussex Integrated Care Board</t>
  </si>
  <si>
    <t>Brighton Station Health Centre</t>
  </si>
  <si>
    <t>First Community Health And Care Cic</t>
  </si>
  <si>
    <t>D7T5G</t>
  </si>
  <si>
    <t>S0E4D</t>
  </si>
  <si>
    <t>S1Y5D</t>
  </si>
  <si>
    <t>S9B9J</t>
  </si>
  <si>
    <t>T6Y0W</t>
  </si>
  <si>
    <t>Z9B2Z</t>
  </si>
  <si>
    <t>North Cheshire and Mersey NHS Foundation Trust</t>
  </si>
  <si>
    <t xml:space="preserve">Bristol NHS Foundation Trust  </t>
  </si>
  <si>
    <t>NHS England East Of England</t>
  </si>
  <si>
    <t>NHS England Midlands</t>
  </si>
  <si>
    <t>NHS England North East And Yorkshire</t>
  </si>
  <si>
    <t>NHS England North West</t>
  </si>
  <si>
    <t>NHS England South East</t>
  </si>
  <si>
    <t>NHS England South West</t>
  </si>
  <si>
    <t>8th October 2026</t>
  </si>
  <si>
    <t>Faversham Medical Practice Miu</t>
  </si>
  <si>
    <t>Barking Hospital Utc</t>
  </si>
  <si>
    <t>Rutland Minor Illness And Injury Service (Formerly Wlhh Pre-April 2026)</t>
  </si>
  <si>
    <t>Putnoe Walk In Centre</t>
  </si>
  <si>
    <t>Harold Wood Polyclinic Utc</t>
  </si>
  <si>
    <t>Hampshire And Isle Of Wight Healthcare NHS Foundation Trust</t>
  </si>
  <si>
    <t>Royal Surrey NHS Foundation Trust</t>
  </si>
  <si>
    <t>Kingston And Richmond NHS Foundation Trust</t>
  </si>
  <si>
    <t>South West Yorkshire Partnership Teaching NHS Foundation Trust</t>
  </si>
  <si>
    <t>Coventry And Warwickshire Partnership NHS Trust</t>
  </si>
  <si>
    <t>Bristol NHS Foundation Trust</t>
  </si>
  <si>
    <t>East And North Hertfordshire Teaching NHS Trust</t>
  </si>
  <si>
    <t>North Cheshire And Mersey NHS Foundation Trust</t>
  </si>
  <si>
    <t>Portsmouth Hospitals University NHS Trust</t>
  </si>
  <si>
    <t>Wrightington, Wigan And Leigh Teaching Hospitals NHS Foundation Trust</t>
  </si>
  <si>
    <t xml:space="preserve">NHS England North East And Yorkshire </t>
  </si>
  <si>
    <t xml:space="preserve">NHS England South East </t>
  </si>
  <si>
    <t xml:space="preserve">NHS England South West </t>
  </si>
  <si>
    <t xml:space="preserve">NHS England Midlands </t>
  </si>
  <si>
    <t xml:space="preserve">NHS England North West </t>
  </si>
  <si>
    <t xml:space="preserve">NHS England East Of England </t>
  </si>
  <si>
    <t>September 26</t>
  </si>
  <si>
    <t>T1_Att</t>
  </si>
  <si>
    <t>T2_Att</t>
  </si>
  <si>
    <t>T3_Att</t>
  </si>
  <si>
    <t>Total_Att</t>
  </si>
  <si>
    <t>T1_WithIn4</t>
  </si>
  <si>
    <t>T2_WithIn4</t>
  </si>
  <si>
    <t>T3_WithIn4</t>
  </si>
  <si>
    <t>Total _WithIn4</t>
  </si>
  <si>
    <t>AllTypes_4hr_pct</t>
  </si>
  <si>
    <t>Type1_4hr_pct</t>
  </si>
  <si>
    <t>Maidstone and Tunbridge Wells: September 2026</t>
  </si>
  <si>
    <t>ODS Code</t>
  </si>
  <si>
    <t>Provider Name</t>
  </si>
  <si>
    <t>Seen Within 4 Hours</t>
  </si>
  <si>
    <t>All-types 4-hour performance</t>
  </si>
  <si>
    <t>Type 1 attendances</t>
  </si>
  <si>
    <t>Type 1 4-hour performance</t>
  </si>
  <si>
    <t>rwf</t>
  </si>
  <si>
    <t>National-all-types performance</t>
  </si>
  <si>
    <t>Total attendance, all providers</t>
  </si>
  <si>
    <t>ICB</t>
  </si>
  <si>
    <t>Sum of T1_Att</t>
  </si>
  <si>
    <t>Data</t>
  </si>
  <si>
    <t>Sum of T1_WithIn4</t>
  </si>
  <si>
    <t>Sum of Total_Att</t>
  </si>
  <si>
    <t>Sum of Total _WithIn4</t>
  </si>
  <si>
    <t>Sum of Type1_pct</t>
  </si>
  <si>
    <t>Sum of All_pct</t>
  </si>
  <si>
    <t>Type 1 4-hour%</t>
  </si>
  <si>
    <t>Dartford and Gravesham</t>
  </si>
  <si>
    <t>Medway</t>
  </si>
  <si>
    <t>East Kent</t>
  </si>
  <si>
    <t>Source: NHS England, Monthly A&amp;E Attendances and Emergency Admissions, September 2026 (published 8 October 2026).</t>
  </si>
  <si>
    <t>1. Maidstone and Tunbridge Wells NHS Trust (MTW) saw 72.9% of Type 1 A&amp;E attendances within four hours in September 2026.</t>
  </si>
  <si>
    <t>2. That put MTW second of the four Kent and Medway acute trusts, behind Dartford and Gravesham (74.3%) and ahead of Medway (69.7%) and East Kent (50.9%).</t>
  </si>
  <si>
    <t>Conclusion</t>
  </si>
  <si>
    <t>3. It is worthy of note that this is a single month and covers Type 1 departments only, so it shows a snapshot, not a trend.</t>
  </si>
  <si>
    <t>Maidstone and Tunbridge Wells (MTW)</t>
  </si>
  <si>
    <t>Grand total covers the four providers with Type 1 departments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</si>
</sst>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sz val="10"/>
      <name val="Verdana"/>
      <family val="2"/>
    </font>
    <font>
      <b/>
      <sz val="12"/>
      <color indexed="8"/>
      <name val="Verdana"/>
      <family val="2"/>
    </font>
    <font>
      <sz val="14"/>
      <name val="Verdana"/>
      <family val="2"/>
    </font>
    <font>
      <b/>
      <sz val="10"/>
      <color indexed="8"/>
      <name val="Verdana"/>
      <family val="2"/>
    </font>
    <font>
      <b/>
      <sz val="10"/>
      <name val="Verdana"/>
      <family val="2"/>
    </font>
    <font>
      <sz val="10"/>
      <color indexed="9"/>
      <name val="Verdana"/>
      <family val="2"/>
    </font>
    <font>
      <sz val="8"/>
      <name val="Arial"/>
      <family val="2"/>
    </font>
    <font>
      <sz val="10"/>
      <name val="Arial"/>
      <family val="2"/>
    </font>
    <font>
      <sz val="9"/>
      <name val="Verdana"/>
      <family val="2"/>
    </font>
    <font>
      <b/>
      <sz val="10"/>
      <name val="Arial"/>
      <family val="2"/>
    </font>
    <font>
      <sz val="10"/>
      <name val="Arial"/>
      <family val="2"/>
    </font>
    <font>
      <sz val="10"/>
      <color theme="0"/>
      <name val="Verdana"/>
      <family val="2"/>
    </font>
    <font>
      <sz val="14"/>
      <color theme="0"/>
      <name val="Verdana"/>
      <family val="2"/>
    </font>
    <font>
      <sz val="11"/>
      <color rgb="FF181716"/>
      <name val="Helvetica"/>
      <family val="2"/>
    </font>
    <font>
      <sz val="10"/>
      <color rgb="FFFFFFFF"/>
      <name val="Arial Unicode MS"/>
      <family val="2"/>
    </font>
    <font>
      <sz val="20"/>
      <name val="Arial Unicode MS"/>
      <family val="2"/>
    </font>
    <font>
      <sz val="20"/>
      <name val="Arial"/>
      <family val="2"/>
    </font>
    <font>
      <sz val="22"/>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4">
    <xf numFmtId="0" fontId="0" fillId="0" borderId="0"/>
    <xf numFmtId="0" fontId="11" fillId="0" borderId="0"/>
    <xf numFmtId="0" fontId="8" fillId="0" borderId="0"/>
    <xf numFmtId="9" fontId="8" fillId="0" borderId="0" applyFont="0" applyFill="0" applyBorder="0" applyAlignment="0" applyProtection="0"/>
  </cellStyleXfs>
  <cellXfs count="202">
    <xf numFmtId="0" fontId="0" fillId="0" borderId="0" xfId="0"/>
    <xf numFmtId="0" fontId="1" fillId="2" borderId="1" xfId="0" applyFont="1" applyFill="1" applyBorder="1" applyAlignment="1">
      <alignment horizontal="center"/>
    </xf>
    <xf numFmtId="3" fontId="1" fillId="2" borderId="1" xfId="0" applyNumberFormat="1" applyFont="1" applyFill="1" applyBorder="1"/>
    <xf numFmtId="0" fontId="1" fillId="2" borderId="0" xfId="0" applyFont="1" applyFill="1"/>
    <xf numFmtId="0" fontId="3" fillId="2" borderId="0" xfId="0" applyFont="1" applyFill="1"/>
    <xf numFmtId="0" fontId="5" fillId="2" borderId="0" xfId="0" applyFont="1" applyFill="1"/>
    <xf numFmtId="0" fontId="6" fillId="2" borderId="0" xfId="0" applyFont="1" applyFill="1"/>
    <xf numFmtId="0" fontId="1" fillId="2" borderId="0" xfId="0" applyFont="1" applyFill="1" applyAlignment="1">
      <alignment vertical="center"/>
    </xf>
    <xf numFmtId="0" fontId="6" fillId="2" borderId="0" xfId="0" applyFont="1" applyFill="1" applyAlignment="1">
      <alignment vertical="center"/>
    </xf>
    <xf numFmtId="0" fontId="7" fillId="0" borderId="0" xfId="0" applyFont="1"/>
    <xf numFmtId="3" fontId="1" fillId="2" borderId="0" xfId="0" applyNumberFormat="1" applyFont="1" applyFill="1"/>
    <xf numFmtId="0" fontId="1" fillId="2" borderId="2" xfId="0" applyFont="1" applyFill="1" applyBorder="1"/>
    <xf numFmtId="17" fontId="2" fillId="2" borderId="0" xfId="0" quotePrefix="1" applyNumberFormat="1" applyFont="1" applyFill="1"/>
    <xf numFmtId="0" fontId="2" fillId="2" borderId="0" xfId="0" applyFont="1" applyFill="1" applyAlignment="1">
      <alignment wrapText="1"/>
    </xf>
    <xf numFmtId="0" fontId="2" fillId="2" borderId="0" xfId="0" applyFont="1" applyFill="1"/>
    <xf numFmtId="0" fontId="1" fillId="2" borderId="0" xfId="0" applyFont="1" applyFill="1" applyAlignment="1">
      <alignment vertical="top" wrapText="1"/>
    </xf>
    <xf numFmtId="49" fontId="2" fillId="2" borderId="0" xfId="0" applyNumberFormat="1" applyFont="1" applyFill="1"/>
    <xf numFmtId="0" fontId="1" fillId="2" borderId="0" xfId="0" applyFont="1" applyFill="1" applyAlignment="1">
      <alignment wrapText="1"/>
    </xf>
    <xf numFmtId="49" fontId="1" fillId="2" borderId="0" xfId="0" applyNumberFormat="1" applyFont="1" applyFill="1"/>
    <xf numFmtId="0" fontId="2" fillId="2" borderId="3" xfId="0" applyFont="1" applyFill="1" applyBorder="1"/>
    <xf numFmtId="0" fontId="4" fillId="3" borderId="4" xfId="0" applyFont="1" applyFill="1" applyBorder="1" applyAlignment="1">
      <alignment horizontal="centerContinuous" vertical="center"/>
    </xf>
    <xf numFmtId="0" fontId="4" fillId="3" borderId="5" xfId="0" applyFont="1" applyFill="1" applyBorder="1" applyAlignment="1">
      <alignment horizontal="centerContinuous" vertical="center"/>
    </xf>
    <xf numFmtId="0" fontId="4" fillId="3" borderId="6" xfId="0" applyFont="1" applyFill="1" applyBorder="1" applyAlignment="1">
      <alignment horizontal="centerContinuous" vertical="center"/>
    </xf>
    <xf numFmtId="0" fontId="4" fillId="3" borderId="1" xfId="0" applyFont="1" applyFill="1" applyBorder="1" applyAlignment="1">
      <alignment vertical="top"/>
    </xf>
    <xf numFmtId="0" fontId="4" fillId="3" borderId="1" xfId="0" applyFont="1" applyFill="1" applyBorder="1" applyAlignment="1">
      <alignment vertical="top" wrapText="1"/>
    </xf>
    <xf numFmtId="0" fontId="1" fillId="2" borderId="0" xfId="0" applyFont="1" applyFill="1" applyAlignment="1">
      <alignment vertical="top"/>
    </xf>
    <xf numFmtId="10" fontId="1" fillId="2" borderId="0" xfId="3" applyNumberFormat="1" applyFont="1" applyFill="1" applyAlignment="1">
      <alignment vertical="center"/>
    </xf>
    <xf numFmtId="3" fontId="2" fillId="2" borderId="0" xfId="0" applyNumberFormat="1" applyFont="1" applyFill="1"/>
    <xf numFmtId="3" fontId="1" fillId="2" borderId="2" xfId="0" applyNumberFormat="1" applyFont="1" applyFill="1" applyBorder="1"/>
    <xf numFmtId="0" fontId="1" fillId="2" borderId="7" xfId="0" applyFont="1" applyFill="1" applyBorder="1"/>
    <xf numFmtId="3" fontId="1" fillId="2" borderId="7" xfId="0" applyNumberFormat="1" applyFont="1" applyFill="1" applyBorder="1"/>
    <xf numFmtId="164" fontId="1" fillId="2" borderId="7" xfId="3" applyNumberFormat="1" applyFont="1" applyFill="1" applyBorder="1"/>
    <xf numFmtId="0" fontId="1" fillId="2" borderId="8" xfId="0" applyFont="1" applyFill="1" applyBorder="1"/>
    <xf numFmtId="3" fontId="1" fillId="2" borderId="8" xfId="0" applyNumberFormat="1" applyFont="1" applyFill="1" applyBorder="1"/>
    <xf numFmtId="0" fontId="1" fillId="2" borderId="9" xfId="0" applyFont="1" applyFill="1" applyBorder="1"/>
    <xf numFmtId="3" fontId="1" fillId="2" borderId="9" xfId="0" applyNumberFormat="1" applyFont="1" applyFill="1" applyBorder="1"/>
    <xf numFmtId="0" fontId="4" fillId="3" borderId="6" xfId="0" applyFont="1" applyFill="1" applyBorder="1" applyAlignment="1">
      <alignment vertical="top" wrapText="1"/>
    </xf>
    <xf numFmtId="14" fontId="1" fillId="2" borderId="0" xfId="0" applyNumberFormat="1" applyFont="1" applyFill="1"/>
    <xf numFmtId="164" fontId="1" fillId="2" borderId="0" xfId="0" applyNumberFormat="1" applyFont="1" applyFill="1"/>
    <xf numFmtId="0" fontId="9" fillId="2" borderId="0" xfId="0" applyFont="1" applyFill="1"/>
    <xf numFmtId="0" fontId="9" fillId="2" borderId="0" xfId="0" applyFont="1" applyFill="1" applyAlignment="1">
      <alignment wrapText="1"/>
    </xf>
    <xf numFmtId="0" fontId="9" fillId="2" borderId="0" xfId="0" applyFont="1" applyFill="1" applyAlignment="1">
      <alignment horizontal="left" wrapText="1"/>
    </xf>
    <xf numFmtId="0" fontId="9" fillId="2" borderId="0" xfId="0" applyFont="1" applyFill="1" applyAlignment="1">
      <alignment horizontal="right" wrapText="1"/>
    </xf>
    <xf numFmtId="0" fontId="4" fillId="3" borderId="10" xfId="0" applyFont="1" applyFill="1" applyBorder="1" applyAlignment="1">
      <alignment vertical="top" wrapText="1"/>
    </xf>
    <xf numFmtId="0" fontId="5" fillId="2" borderId="1" xfId="0" applyFont="1" applyFill="1" applyBorder="1" applyAlignment="1">
      <alignment horizontal="left"/>
    </xf>
    <xf numFmtId="3" fontId="1" fillId="2" borderId="11" xfId="0" applyNumberFormat="1" applyFont="1" applyFill="1" applyBorder="1" applyAlignment="1">
      <alignment horizontal="center"/>
    </xf>
    <xf numFmtId="0" fontId="1" fillId="0" borderId="0" xfId="0" applyFont="1"/>
    <xf numFmtId="0" fontId="1" fillId="0" borderId="7" xfId="0" applyFont="1" applyBorder="1"/>
    <xf numFmtId="0" fontId="12" fillId="0" borderId="0" xfId="0" applyFont="1"/>
    <xf numFmtId="3" fontId="1" fillId="2" borderId="12" xfId="0" applyNumberFormat="1" applyFont="1" applyFill="1" applyBorder="1"/>
    <xf numFmtId="0" fontId="1" fillId="2" borderId="13" xfId="0" applyFont="1" applyFill="1" applyBorder="1"/>
    <xf numFmtId="0" fontId="1" fillId="2" borderId="14" xfId="0" applyFont="1" applyFill="1" applyBorder="1"/>
    <xf numFmtId="164" fontId="1" fillId="2" borderId="15" xfId="3" applyNumberFormat="1" applyFont="1" applyFill="1" applyBorder="1"/>
    <xf numFmtId="0" fontId="13" fillId="2" borderId="0" xfId="0" applyFont="1" applyFill="1"/>
    <xf numFmtId="164" fontId="1" fillId="2" borderId="2" xfId="3" applyNumberFormat="1" applyFont="1" applyFill="1" applyBorder="1"/>
    <xf numFmtId="164" fontId="1" fillId="2" borderId="7" xfId="0" applyNumberFormat="1" applyFont="1" applyFill="1" applyBorder="1"/>
    <xf numFmtId="164" fontId="1" fillId="2" borderId="8" xfId="0" applyNumberFormat="1" applyFont="1" applyFill="1" applyBorder="1"/>
    <xf numFmtId="9" fontId="1" fillId="0" borderId="1" xfId="0" applyNumberFormat="1" applyFont="1" applyBorder="1"/>
    <xf numFmtId="0" fontId="1" fillId="2" borderId="16" xfId="0" applyFont="1" applyFill="1" applyBorder="1"/>
    <xf numFmtId="9" fontId="1" fillId="0" borderId="17" xfId="0" applyNumberFormat="1" applyFont="1" applyBorder="1"/>
    <xf numFmtId="9" fontId="1" fillId="0" borderId="18" xfId="0" applyNumberFormat="1" applyFont="1" applyBorder="1"/>
    <xf numFmtId="164" fontId="1" fillId="2" borderId="1" xfId="0" applyNumberFormat="1" applyFont="1" applyFill="1" applyBorder="1"/>
    <xf numFmtId="164" fontId="1" fillId="2" borderId="9" xfId="0" applyNumberFormat="1" applyFont="1" applyFill="1" applyBorder="1"/>
    <xf numFmtId="0" fontId="8" fillId="0" borderId="0" xfId="0" applyFont="1" applyAlignment="1">
      <alignment wrapText="1"/>
    </xf>
    <xf numFmtId="0" fontId="10" fillId="0" borderId="0" xfId="0" applyFont="1"/>
    <xf numFmtId="0" fontId="10" fillId="0" borderId="0" xfId="0" applyFont="1" applyAlignment="1">
      <alignment horizontal="left"/>
    </xf>
    <xf numFmtId="0" fontId="8" fillId="0" borderId="0" xfId="0" applyFont="1"/>
    <xf numFmtId="9" fontId="1" fillId="0" borderId="8" xfId="0" applyNumberFormat="1" applyFont="1" applyBorder="1"/>
    <xf numFmtId="9" fontId="1" fillId="0" borderId="9" xfId="0" applyNumberFormat="1" applyFont="1" applyBorder="1"/>
    <xf numFmtId="0" fontId="11" fillId="0" borderId="0" xfId="1"/>
    <xf numFmtId="0" fontId="1" fillId="4" borderId="8" xfId="0" applyFont="1" applyFill="1" applyBorder="1"/>
    <xf numFmtId="9" fontId="1" fillId="4" borderId="8" xfId="0" applyNumberFormat="1" applyFont="1" applyFill="1" applyBorder="1"/>
    <xf numFmtId="0" fontId="13" fillId="2" borderId="0" xfId="2" applyFont="1" applyFill="1"/>
    <xf numFmtId="0" fontId="5" fillId="5" borderId="0" xfId="2" applyFont="1" applyFill="1"/>
    <xf numFmtId="0" fontId="2" fillId="5" borderId="0" xfId="2" applyFont="1" applyFill="1" applyAlignment="1">
      <alignment wrapText="1"/>
    </xf>
    <xf numFmtId="0" fontId="1" fillId="2" borderId="0" xfId="2" applyFont="1" applyFill="1"/>
    <xf numFmtId="0" fontId="1" fillId="2" borderId="0" xfId="2" applyFont="1" applyFill="1" applyAlignment="1">
      <alignment vertical="center"/>
    </xf>
    <xf numFmtId="0" fontId="6" fillId="2" borderId="0" xfId="2" applyFont="1" applyFill="1" applyAlignment="1">
      <alignment vertical="center"/>
    </xf>
    <xf numFmtId="0" fontId="1" fillId="2" borderId="0" xfId="2" applyFont="1" applyFill="1" applyAlignment="1">
      <alignment vertical="top"/>
    </xf>
    <xf numFmtId="0" fontId="1" fillId="5" borderId="0" xfId="2" applyFont="1" applyFill="1" applyAlignment="1">
      <alignment vertical="top" wrapText="1"/>
    </xf>
    <xf numFmtId="0" fontId="6" fillId="2" borderId="0" xfId="2" applyFont="1" applyFill="1"/>
    <xf numFmtId="49" fontId="2" fillId="2" borderId="0" xfId="2" applyNumberFormat="1" applyFont="1" applyFill="1"/>
    <xf numFmtId="17" fontId="2" fillId="2" borderId="0" xfId="2" quotePrefix="1" applyNumberFormat="1" applyFont="1" applyFill="1"/>
    <xf numFmtId="0" fontId="1" fillId="2" borderId="0" xfId="2" applyFont="1" applyFill="1" applyAlignment="1">
      <alignment wrapText="1"/>
    </xf>
    <xf numFmtId="49" fontId="1" fillId="2" borderId="0" xfId="2" applyNumberFormat="1" applyFont="1" applyFill="1"/>
    <xf numFmtId="0" fontId="7" fillId="0" borderId="0" xfId="2" applyFont="1"/>
    <xf numFmtId="0" fontId="2" fillId="2" borderId="0" xfId="2" applyFont="1" applyFill="1"/>
    <xf numFmtId="3" fontId="2" fillId="2" borderId="0" xfId="2" applyNumberFormat="1" applyFont="1" applyFill="1"/>
    <xf numFmtId="0" fontId="2" fillId="2" borderId="3" xfId="2" applyFont="1" applyFill="1" applyBorder="1"/>
    <xf numFmtId="0" fontId="4" fillId="3" borderId="1" xfId="2" applyFont="1" applyFill="1" applyBorder="1" applyAlignment="1">
      <alignment vertical="top"/>
    </xf>
    <xf numFmtId="0" fontId="4" fillId="3" borderId="1" xfId="2" applyFont="1" applyFill="1" applyBorder="1" applyAlignment="1">
      <alignment vertical="top" wrapText="1"/>
    </xf>
    <xf numFmtId="0" fontId="1" fillId="2" borderId="1" xfId="2" applyFont="1" applyFill="1" applyBorder="1" applyAlignment="1">
      <alignment horizontal="center"/>
    </xf>
    <xf numFmtId="0" fontId="5" fillId="2" borderId="1" xfId="2" applyFont="1" applyFill="1" applyBorder="1" applyAlignment="1">
      <alignment horizontal="left"/>
    </xf>
    <xf numFmtId="3" fontId="1" fillId="2" borderId="1" xfId="2" applyNumberFormat="1" applyFont="1" applyFill="1" applyBorder="1"/>
    <xf numFmtId="164" fontId="1" fillId="2" borderId="1" xfId="2" applyNumberFormat="1" applyFont="1" applyFill="1" applyBorder="1"/>
    <xf numFmtId="0" fontId="1" fillId="2" borderId="2" xfId="2" applyFont="1" applyFill="1" applyBorder="1"/>
    <xf numFmtId="3" fontId="1" fillId="2" borderId="2" xfId="2" applyNumberFormat="1" applyFont="1" applyFill="1" applyBorder="1"/>
    <xf numFmtId="3" fontId="1" fillId="2" borderId="0" xfId="2" applyNumberFormat="1" applyFont="1" applyFill="1"/>
    <xf numFmtId="0" fontId="10" fillId="5" borderId="0" xfId="0" applyFont="1" applyFill="1" applyAlignment="1">
      <alignment wrapText="1"/>
    </xf>
    <xf numFmtId="3" fontId="0" fillId="5" borderId="0" xfId="0" applyNumberFormat="1" applyFill="1"/>
    <xf numFmtId="0" fontId="0" fillId="5" borderId="0" xfId="0" applyFill="1"/>
    <xf numFmtId="164" fontId="4" fillId="3" borderId="1" xfId="3" applyNumberFormat="1" applyFont="1" applyFill="1" applyBorder="1" applyAlignment="1">
      <alignment vertical="top" wrapText="1"/>
    </xf>
    <xf numFmtId="9" fontId="1" fillId="0" borderId="7" xfId="0" applyNumberFormat="1" applyFont="1" applyBorder="1"/>
    <xf numFmtId="0" fontId="1" fillId="5" borderId="8" xfId="0" applyFont="1" applyFill="1" applyBorder="1"/>
    <xf numFmtId="9" fontId="1" fillId="5" borderId="8" xfId="0" applyNumberFormat="1" applyFont="1" applyFill="1" applyBorder="1"/>
    <xf numFmtId="0" fontId="1" fillId="0" borderId="8" xfId="0" applyFont="1" applyBorder="1"/>
    <xf numFmtId="0" fontId="2" fillId="5" borderId="0" xfId="2" applyFont="1" applyFill="1" applyAlignment="1">
      <alignment vertical="center"/>
    </xf>
    <xf numFmtId="0" fontId="2" fillId="2" borderId="0" xfId="0" applyFont="1" applyFill="1" applyAlignment="1">
      <alignment vertical="center"/>
    </xf>
    <xf numFmtId="3" fontId="0" fillId="0" borderId="0" xfId="0" applyNumberFormat="1"/>
    <xf numFmtId="0" fontId="1" fillId="2" borderId="0" xfId="0" applyFont="1" applyFill="1" applyAlignment="1">
      <alignment horizontal="left" vertical="top" wrapText="1"/>
    </xf>
    <xf numFmtId="0" fontId="5" fillId="2" borderId="0" xfId="0" applyFont="1" applyFill="1" applyAlignment="1">
      <alignment vertical="top"/>
    </xf>
    <xf numFmtId="0" fontId="5" fillId="5" borderId="0" xfId="2" applyFont="1" applyFill="1" applyAlignment="1">
      <alignment vertical="top"/>
    </xf>
    <xf numFmtId="0" fontId="1" fillId="2" borderId="12" xfId="0" applyFont="1" applyFill="1" applyBorder="1"/>
    <xf numFmtId="9" fontId="1" fillId="0" borderId="12" xfId="0" applyNumberFormat="1" applyFont="1" applyBorder="1"/>
    <xf numFmtId="0" fontId="0" fillId="4" borderId="0" xfId="0" applyFill="1"/>
    <xf numFmtId="3" fontId="1" fillId="2" borderId="7" xfId="2" applyNumberFormat="1" applyFont="1" applyFill="1" applyBorder="1"/>
    <xf numFmtId="3" fontId="1" fillId="2" borderId="8" xfId="2" applyNumberFormat="1" applyFont="1" applyFill="1" applyBorder="1"/>
    <xf numFmtId="0" fontId="1" fillId="2" borderId="8" xfId="0" applyFont="1" applyFill="1" applyBorder="1" applyAlignment="1">
      <alignment vertical="center"/>
    </xf>
    <xf numFmtId="0" fontId="1" fillId="0" borderId="9" xfId="0" applyFont="1" applyBorder="1"/>
    <xf numFmtId="3" fontId="1" fillId="2" borderId="9" xfId="2" applyNumberFormat="1" applyFont="1" applyFill="1" applyBorder="1"/>
    <xf numFmtId="0" fontId="1" fillId="0" borderId="7" xfId="2" applyFont="1" applyBorder="1"/>
    <xf numFmtId="0" fontId="1" fillId="2" borderId="7" xfId="2" applyFont="1" applyFill="1" applyBorder="1"/>
    <xf numFmtId="164" fontId="1" fillId="2" borderId="7" xfId="2" applyNumberFormat="1" applyFont="1" applyFill="1" applyBorder="1"/>
    <xf numFmtId="0" fontId="1" fillId="0" borderId="8" xfId="2" applyFont="1" applyBorder="1"/>
    <xf numFmtId="0" fontId="1" fillId="2" borderId="8" xfId="2" applyFont="1" applyFill="1" applyBorder="1"/>
    <xf numFmtId="164" fontId="1" fillId="2" borderId="8" xfId="2" applyNumberFormat="1" applyFont="1" applyFill="1" applyBorder="1"/>
    <xf numFmtId="0" fontId="1" fillId="2" borderId="8" xfId="2" applyFont="1" applyFill="1" applyBorder="1" applyAlignment="1">
      <alignment vertical="center"/>
    </xf>
    <xf numFmtId="0" fontId="1" fillId="0" borderId="9" xfId="2" applyFont="1" applyBorder="1"/>
    <xf numFmtId="0" fontId="1" fillId="2" borderId="9" xfId="2" applyFont="1" applyFill="1" applyBorder="1"/>
    <xf numFmtId="164" fontId="1" fillId="2" borderId="9" xfId="2" applyNumberFormat="1" applyFont="1" applyFill="1" applyBorder="1"/>
    <xf numFmtId="0" fontId="1" fillId="0" borderId="15" xfId="0" applyFont="1" applyBorder="1"/>
    <xf numFmtId="0" fontId="1" fillId="0" borderId="17" xfId="0" applyFont="1" applyBorder="1"/>
    <xf numFmtId="3" fontId="1" fillId="2" borderId="13" xfId="0" applyNumberFormat="1" applyFont="1" applyFill="1" applyBorder="1"/>
    <xf numFmtId="3" fontId="1" fillId="2" borderId="14" xfId="0" applyNumberFormat="1" applyFont="1" applyFill="1" applyBorder="1"/>
    <xf numFmtId="0" fontId="4" fillId="3" borderId="19" xfId="0" applyFont="1" applyFill="1" applyBorder="1" applyAlignment="1">
      <alignment horizontal="center" vertical="top"/>
    </xf>
    <xf numFmtId="0" fontId="4" fillId="3" borderId="10" xfId="0" applyFont="1" applyFill="1" applyBorder="1" applyAlignment="1">
      <alignment horizontal="center" vertical="top"/>
    </xf>
    <xf numFmtId="0" fontId="4" fillId="3" borderId="10" xfId="0" applyFont="1" applyFill="1" applyBorder="1" applyAlignment="1">
      <alignment horizontal="center" vertical="top" wrapText="1"/>
    </xf>
    <xf numFmtId="0" fontId="4" fillId="3" borderId="20" xfId="0" applyFont="1" applyFill="1" applyBorder="1" applyAlignment="1">
      <alignment horizontal="center" vertical="top" wrapText="1"/>
    </xf>
    <xf numFmtId="0" fontId="1" fillId="0" borderId="21" xfId="0" applyFont="1" applyBorder="1"/>
    <xf numFmtId="0" fontId="1" fillId="0" borderId="22" xfId="0" applyFont="1" applyBorder="1"/>
    <xf numFmtId="0" fontId="1" fillId="2" borderId="22" xfId="0" applyFont="1" applyFill="1" applyBorder="1"/>
    <xf numFmtId="3" fontId="1" fillId="2" borderId="22" xfId="0" applyNumberFormat="1" applyFont="1" applyFill="1" applyBorder="1"/>
    <xf numFmtId="3" fontId="1" fillId="2" borderId="23" xfId="0" applyNumberFormat="1" applyFont="1" applyFill="1" applyBorder="1"/>
    <xf numFmtId="10" fontId="4" fillId="3" borderId="10" xfId="0" applyNumberFormat="1" applyFont="1" applyFill="1" applyBorder="1" applyAlignment="1">
      <alignment horizontal="center" vertical="top" wrapText="1"/>
    </xf>
    <xf numFmtId="10" fontId="0" fillId="0" borderId="0" xfId="0" applyNumberFormat="1"/>
    <xf numFmtId="10" fontId="15" fillId="0" borderId="0" xfId="0" applyNumberFormat="1" applyFont="1" applyAlignment="1">
      <alignment horizontal="center"/>
    </xf>
    <xf numFmtId="10" fontId="14" fillId="0" borderId="0" xfId="0" applyNumberFormat="1" applyFont="1" applyAlignment="1">
      <alignment horizontal="center"/>
    </xf>
    <xf numFmtId="10" fontId="1" fillId="2" borderId="8" xfId="0" applyNumberFormat="1" applyFont="1" applyFill="1" applyBorder="1" applyAlignment="1">
      <alignment horizontal="center"/>
    </xf>
    <xf numFmtId="10" fontId="1" fillId="2" borderId="22" xfId="0" applyNumberFormat="1" applyFont="1" applyFill="1" applyBorder="1" applyAlignment="1">
      <alignment horizontal="center"/>
    </xf>
    <xf numFmtId="10" fontId="1" fillId="2" borderId="12" xfId="0" applyNumberFormat="1" applyFont="1" applyFill="1" applyBorder="1" applyAlignment="1">
      <alignment horizontal="center"/>
    </xf>
    <xf numFmtId="164" fontId="0" fillId="0" borderId="0" xfId="3" applyNumberFormat="1" applyFont="1"/>
    <xf numFmtId="0" fontId="16" fillId="0" borderId="0" xfId="0" applyFont="1" applyAlignment="1">
      <alignment horizontal="left"/>
    </xf>
    <xf numFmtId="0" fontId="17" fillId="0" borderId="0" xfId="0" applyFont="1"/>
    <xf numFmtId="164" fontId="17" fillId="0" borderId="0" xfId="3" applyNumberFormat="1" applyFont="1"/>
    <xf numFmtId="0" fontId="18" fillId="0" borderId="0" xfId="0" applyFont="1"/>
    <xf numFmtId="164" fontId="18" fillId="0" borderId="0" xfId="3" applyNumberFormat="1" applyFont="1"/>
    <xf numFmtId="0" fontId="18" fillId="0" borderId="24" xfId="0" applyFont="1" applyBorder="1"/>
    <xf numFmtId="0" fontId="18" fillId="0" borderId="24" xfId="0" pivotButton="1" applyFont="1" applyBorder="1"/>
    <xf numFmtId="0" fontId="18" fillId="0" borderId="25" xfId="0" applyFont="1" applyBorder="1"/>
    <xf numFmtId="0" fontId="18" fillId="0" borderId="26" xfId="0" applyFont="1" applyBorder="1"/>
    <xf numFmtId="0" fontId="18" fillId="0" borderId="33" xfId="0" applyFont="1" applyBorder="1"/>
    <xf numFmtId="0" fontId="18" fillId="0" borderId="30" xfId="0" applyFont="1" applyBorder="1"/>
    <xf numFmtId="3" fontId="18" fillId="0" borderId="33" xfId="0" applyNumberFormat="1" applyFont="1" applyBorder="1"/>
    <xf numFmtId="164" fontId="18" fillId="0" borderId="33" xfId="0" applyNumberFormat="1" applyFont="1" applyBorder="1"/>
    <xf numFmtId="164" fontId="18" fillId="0" borderId="30" xfId="0" applyNumberFormat="1" applyFont="1" applyBorder="1"/>
    <xf numFmtId="0" fontId="18" fillId="0" borderId="27" xfId="0" applyFont="1" applyBorder="1"/>
    <xf numFmtId="3" fontId="18" fillId="0" borderId="0" xfId="0" applyNumberFormat="1" applyFont="1"/>
    <xf numFmtId="164" fontId="18" fillId="0" borderId="0" xfId="0" applyNumberFormat="1" applyFont="1"/>
    <xf numFmtId="164" fontId="18" fillId="0" borderId="31" xfId="0" applyNumberFormat="1" applyFont="1" applyBorder="1"/>
    <xf numFmtId="0" fontId="18" fillId="0" borderId="28" xfId="0" applyFont="1" applyBorder="1"/>
    <xf numFmtId="0" fontId="18" fillId="0" borderId="34" xfId="0" applyFont="1" applyBorder="1"/>
    <xf numFmtId="3" fontId="18" fillId="0" borderId="34" xfId="0" applyNumberFormat="1" applyFont="1" applyBorder="1"/>
    <xf numFmtId="164" fontId="18" fillId="0" borderId="34" xfId="0" applyNumberFormat="1" applyFont="1" applyBorder="1"/>
    <xf numFmtId="164" fontId="18" fillId="0" borderId="32" xfId="0" applyNumberFormat="1" applyFont="1" applyBorder="1"/>
    <xf numFmtId="164" fontId="18" fillId="0" borderId="0" xfId="3" applyNumberFormat="1" applyFont="1" applyAlignment="1"/>
    <xf numFmtId="0" fontId="18" fillId="0" borderId="0" xfId="0" applyFont="1" applyAlignment="1">
      <alignment horizontal="center"/>
    </xf>
    <xf numFmtId="0" fontId="18" fillId="0" borderId="29" xfId="0" applyFont="1" applyBorder="1" applyAlignment="1">
      <alignment horizontal="left" vertical="center"/>
    </xf>
    <xf numFmtId="0" fontId="18" fillId="0" borderId="0" xfId="0" applyFont="1" applyAlignment="1">
      <alignment horizontal="left" vertical="center"/>
    </xf>
    <xf numFmtId="164" fontId="18" fillId="0" borderId="0" xfId="3" applyNumberFormat="1" applyFont="1" applyAlignment="1">
      <alignment horizontal="left" vertical="center"/>
    </xf>
    <xf numFmtId="0" fontId="18" fillId="0" borderId="24" xfId="0" pivotButton="1" applyFont="1" applyBorder="1" applyAlignment="1">
      <alignment horizontal="center" wrapText="1"/>
    </xf>
    <xf numFmtId="0" fontId="18" fillId="0" borderId="29" xfId="0" pivotButton="1" applyFont="1" applyBorder="1" applyAlignment="1">
      <alignment horizontal="center"/>
    </xf>
    <xf numFmtId="0" fontId="17" fillId="0" borderId="0" xfId="0" applyFont="1" applyAlignment="1">
      <alignment horizontal="left" wrapText="1"/>
    </xf>
    <xf numFmtId="0" fontId="2" fillId="2" borderId="0" xfId="0" applyFont="1" applyFill="1" applyAlignment="1">
      <alignment horizontal="left" vertical="center" wrapText="1"/>
    </xf>
    <xf numFmtId="0" fontId="4" fillId="3" borderId="1"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0" xfId="0" applyFont="1" applyFill="1" applyAlignment="1">
      <alignment horizontal="left" vertical="top" wrapText="1"/>
    </xf>
    <xf numFmtId="0" fontId="4" fillId="3" borderId="4" xfId="2" applyFont="1" applyFill="1" applyBorder="1" applyAlignment="1">
      <alignment horizontal="center" vertical="center"/>
    </xf>
    <xf numFmtId="0" fontId="4" fillId="3" borderId="5" xfId="2" applyFont="1" applyFill="1" applyBorder="1" applyAlignment="1">
      <alignment horizontal="center" vertical="center"/>
    </xf>
    <xf numFmtId="0" fontId="4" fillId="3" borderId="6" xfId="2" applyFont="1" applyFill="1" applyBorder="1" applyAlignment="1">
      <alignment horizontal="center" vertical="center"/>
    </xf>
    <xf numFmtId="0" fontId="4" fillId="3" borderId="4" xfId="2" applyFont="1" applyFill="1" applyBorder="1" applyAlignment="1">
      <alignment horizontal="center" vertical="center" wrapText="1"/>
    </xf>
    <xf numFmtId="0" fontId="4" fillId="3" borderId="5" xfId="2"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 fillId="2" borderId="0" xfId="2" applyFont="1" applyFill="1" applyAlignment="1">
      <alignment horizontal="left" vertical="top" wrapText="1"/>
    </xf>
    <xf numFmtId="0" fontId="18" fillId="0" borderId="0" xfId="0" applyFont="1" applyBorder="1"/>
    <xf numFmtId="0" fontId="18" fillId="0" borderId="28" xfId="0" applyFont="1" applyBorder="1" applyAlignment="1">
      <alignment vertical="center" wrapText="1"/>
    </xf>
    <xf numFmtId="0" fontId="17" fillId="0" borderId="0" xfId="0" applyFont="1" applyAlignment="1">
      <alignment horizontal="left" vertical="top" wrapText="1"/>
    </xf>
  </cellXfs>
  <cellStyles count="4">
    <cellStyle name="Normal" xfId="0" builtinId="0"/>
    <cellStyle name="Normal 2" xfId="1" xr:uid="{238CCD18-A9CB-F046-9944-A45CD7F11462}"/>
    <cellStyle name="Normal 3" xfId="2" xr:uid="{95772C22-4702-0746-9B24-EFEC76A9B895}"/>
    <cellStyle name="Per cent" xfId="3" builtinId="5"/>
  </cellStyles>
  <dxfs count="77">
    <dxf>
      <alignment vertical="top"/>
    </dxf>
    <dxf>
      <alignment vertical="center"/>
    </dxf>
    <dxf>
      <alignment vertical="bottom"/>
    </dxf>
    <dxf>
      <alignment vertical="top"/>
    </dxf>
    <dxf>
      <alignment horizontal="right"/>
    </dxf>
    <dxf>
      <alignment horizontal="general"/>
    </dxf>
    <dxf>
      <alignment horizontal="left"/>
    </dxf>
    <dxf>
      <alignment horizontal="center"/>
    </dxf>
    <dxf>
      <alignment wrapText="0"/>
    </dxf>
    <dxf>
      <alignment wrapText="1"/>
    </dxf>
    <dxf>
      <alignment wrapText="1"/>
    </dxf>
    <dxf>
      <numFmt numFmtId="164" formatCode="0.0%"/>
    </dxf>
    <dxf>
      <numFmt numFmtId="164" formatCode="0.0%"/>
    </dxf>
    <dxf>
      <font>
        <sz val="22"/>
      </font>
    </dxf>
    <dxf>
      <font>
        <sz val="22"/>
      </font>
    </dxf>
    <dxf>
      <font>
        <sz val="22"/>
      </font>
    </dxf>
    <dxf>
      <font>
        <sz val="22"/>
      </font>
    </dxf>
    <dxf>
      <font>
        <sz val="22"/>
      </font>
    </dxf>
    <dxf>
      <font>
        <sz val="22"/>
      </font>
    </dxf>
    <dxf>
      <font>
        <sz val="22"/>
      </font>
    </dxf>
    <dxf>
      <font>
        <sz val="22"/>
      </font>
    </dxf>
    <dxf>
      <font>
        <sz val="22"/>
      </font>
    </dxf>
    <dxf>
      <alignment wrapText="0"/>
    </dxf>
    <dxf>
      <alignment vertical="center"/>
    </dxf>
    <dxf>
      <alignment horizontal="left"/>
    </dxf>
    <dxf>
      <alignment wrapText="1"/>
    </dxf>
    <dxf>
      <alignment horizontal="center"/>
    </dxf>
    <dxf>
      <alignment horizontal="center"/>
    </dxf>
    <dxf>
      <font>
        <b val="0"/>
        <i val="0"/>
        <strike val="0"/>
        <condense val="0"/>
        <extend val="0"/>
        <outline val="0"/>
        <shadow val="0"/>
        <u val="none"/>
        <vertAlign val="baseline"/>
        <sz val="10"/>
        <color auto="1"/>
        <name val="Verdana"/>
        <family val="2"/>
        <scheme val="none"/>
      </font>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0" formatCode="General"/>
      <fill>
        <patternFill patternType="solid">
          <fgColor indexed="64"/>
          <bgColor indexed="9"/>
        </patternFill>
      </fill>
    </dxf>
    <dxf>
      <font>
        <b val="0"/>
        <i val="0"/>
        <strike val="0"/>
        <condense val="0"/>
        <extend val="0"/>
        <outline val="0"/>
        <shadow val="0"/>
        <u val="none"/>
        <vertAlign val="baseline"/>
        <sz val="10"/>
        <color auto="1"/>
        <name val="Verdana"/>
        <family val="2"/>
        <scheme val="none"/>
      </font>
      <numFmt numFmtId="14" formatCode="0.00%"/>
      <fill>
        <patternFill patternType="solid">
          <fgColor indexed="64"/>
          <bgColor indexed="9"/>
        </patternFill>
      </fill>
      <alignment horizontal="center" vertical="bottom" textRotation="0" wrapText="0" indent="0" justifyLastLine="0" shrinkToFit="0" readingOrder="0"/>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14" formatCode="0.00%"/>
      <fill>
        <patternFill patternType="solid">
          <fgColor indexed="64"/>
          <bgColor indexed="9"/>
        </patternFill>
      </fill>
      <alignment horizontal="center" vertical="bottom"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Verdana"/>
        <family val="2"/>
        <scheme val="none"/>
      </font>
      <numFmt numFmtId="14" formatCode="0.00%"/>
      <fill>
        <patternFill patternType="solid">
          <fgColor indexed="64"/>
          <bgColor indexed="9"/>
        </patternFill>
      </fill>
      <alignment horizontal="center" vertical="bottom" textRotation="0" wrapText="0" indent="0" justifyLastLine="0" shrinkToFit="0" readingOrder="0"/>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14" formatCode="0.00%"/>
      <fill>
        <patternFill patternType="solid">
          <fgColor indexed="64"/>
          <bgColor indexed="9"/>
        </patternFill>
      </fill>
      <alignment horizontal="center" vertical="bottom"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numFmt numFmtId="3" formatCode="#,##0"/>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fill>
        <patternFill patternType="solid">
          <fgColor indexed="64"/>
          <bgColor indexed="9"/>
        </patternFill>
      </fill>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fill>
        <patternFill patternType="solid">
          <fgColor indexed="64"/>
          <bgColor indexed="9"/>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border diagonalUp="0" diagonalDown="0" outline="0">
        <left style="thin">
          <color indexed="64"/>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0"/>
        <color auto="1"/>
        <name val="Verdana"/>
        <family val="2"/>
        <scheme val="none"/>
      </font>
      <border diagonalUp="0" diagonalDown="0" outline="0">
        <left/>
        <right style="thin">
          <color indexed="64"/>
        </right>
        <top style="hair">
          <color indexed="64"/>
        </top>
        <bottom/>
      </border>
    </dxf>
    <dxf>
      <font>
        <b val="0"/>
        <i val="0"/>
        <strike val="0"/>
        <condense val="0"/>
        <extend val="0"/>
        <outline val="0"/>
        <shadow val="0"/>
        <u val="none"/>
        <vertAlign val="baseline"/>
        <sz val="10"/>
        <color auto="1"/>
        <name val="Verdana"/>
        <family val="2"/>
        <scheme val="none"/>
      </font>
      <border diagonalUp="0" diagonalDown="0">
        <left/>
        <right style="thin">
          <color indexed="64"/>
        </right>
        <top style="hair">
          <color indexed="64"/>
        </top>
        <bottom style="hair">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fill>
        <patternFill patternType="solid">
          <fgColor indexed="64"/>
          <bgColor indexed="9"/>
        </patternFill>
      </fill>
    </dxf>
    <dxf>
      <border outline="0">
        <bottom style="thin">
          <color indexed="64"/>
        </bottom>
      </border>
    </dxf>
    <dxf>
      <font>
        <b/>
        <i val="0"/>
        <strike val="0"/>
        <condense val="0"/>
        <extend val="0"/>
        <outline val="0"/>
        <shadow val="0"/>
        <u val="none"/>
        <vertAlign val="baseline"/>
        <sz val="10"/>
        <color indexed="8"/>
        <name val="Verdana"/>
        <family val="2"/>
        <scheme val="none"/>
      </font>
      <fill>
        <patternFill patternType="solid">
          <fgColor indexed="64"/>
          <bgColor indexed="22"/>
        </patternFill>
      </fill>
      <alignment horizontal="center" vertical="top" textRotation="0" wrapText="1" indent="0" justifyLastLine="0" shrinkToFit="0" readingOrder="0"/>
      <border diagonalUp="0" diagonalDown="0" outline="0">
        <left style="thin">
          <color indexed="64"/>
        </left>
        <right style="thin">
          <color indexed="64"/>
        </right>
        <top/>
        <bottom/>
      </border>
    </dxf>
    <dxf>
      <alignment horizontal="center"/>
    </dxf>
    <dxf>
      <alignment horizontal="center"/>
    </dxf>
    <dxf>
      <alignment wrapText="1"/>
    </dxf>
    <dxf>
      <alignment horizontal="left"/>
    </dxf>
    <dxf>
      <alignment vertical="center"/>
    </dxf>
    <dxf>
      <alignment wrapText="0"/>
    </dxf>
    <dxf>
      <font>
        <sz val="22"/>
      </font>
    </dxf>
    <dxf>
      <font>
        <sz val="22"/>
      </font>
    </dxf>
    <dxf>
      <font>
        <sz val="22"/>
      </font>
    </dxf>
    <dxf>
      <font>
        <sz val="22"/>
      </font>
    </dxf>
    <dxf>
      <font>
        <sz val="22"/>
      </font>
    </dxf>
    <dxf>
      <font>
        <sz val="22"/>
      </font>
    </dxf>
    <dxf>
      <font>
        <sz val="22"/>
      </font>
    </dxf>
    <dxf>
      <font>
        <sz val="22"/>
      </font>
    </dxf>
    <dxf>
      <font>
        <sz val="22"/>
      </font>
    </dxf>
    <dxf>
      <numFmt numFmtId="164" formatCode="0.0%"/>
    </dxf>
    <dxf>
      <numFmt numFmtId="164" formatCode="0.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95BA6"/>
      <rgbColor rgb="00FFFFFF"/>
      <rgbColor rgb="00F71301"/>
      <rgbColor rgb="0000FF00"/>
      <rgbColor rgb="000000FF"/>
      <rgbColor rgb="00FFFF00"/>
      <rgbColor rgb="00F9FBFD"/>
      <rgbColor rgb="0000FFFF"/>
      <rgbColor rgb="000066CC"/>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baseline="0"/>
              <a:t>Four-hour performance, Type 1 A&amp;E, Kent and Medway, September 2026</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Pivot_Kent!$B$13</c:f>
              <c:strCache>
                <c:ptCount val="1"/>
                <c:pt idx="0">
                  <c:v>Type 1 4-hour%</c:v>
                </c:pt>
              </c:strCache>
            </c:strRef>
          </c:tx>
          <c:spPr>
            <a:solidFill>
              <a:schemeClr val="bg1">
                <a:lumMod val="50000"/>
              </a:schemeClr>
            </a:solidFill>
            <a:ln>
              <a:noFill/>
            </a:ln>
            <a:effectLst/>
          </c:spPr>
          <c:invertIfNegative val="0"/>
          <c:dPt>
            <c:idx val="1"/>
            <c:invertIfNegative val="0"/>
            <c:bubble3D val="0"/>
            <c:spPr>
              <a:solidFill>
                <a:schemeClr val="tx2"/>
              </a:solidFill>
              <a:ln>
                <a:noFill/>
              </a:ln>
              <a:effectLst/>
            </c:spPr>
            <c:extLst>
              <c:ext xmlns:c16="http://schemas.microsoft.com/office/drawing/2014/chart" uri="{C3380CC4-5D6E-409C-BE32-E72D297353CC}">
                <c16:uniqueId val="{00000002-53AA-F84D-8158-1C0E86827FB6}"/>
              </c:ext>
            </c:extLst>
          </c:dPt>
          <c:dLbls>
            <c:dLbl>
              <c:idx val="1"/>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53AA-F84D-8158-1C0E86827FB6}"/>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Pivot_Kent!$A$14:$A$17</c:f>
              <c:strCache>
                <c:ptCount val="4"/>
                <c:pt idx="0">
                  <c:v>Dartford and Gravesham</c:v>
                </c:pt>
                <c:pt idx="1">
                  <c:v>Maidstone and Tunbridge Wells (MTW)</c:v>
                </c:pt>
                <c:pt idx="2">
                  <c:v>Medway</c:v>
                </c:pt>
                <c:pt idx="3">
                  <c:v>East Kent</c:v>
                </c:pt>
              </c:strCache>
            </c:strRef>
          </c:cat>
          <c:val>
            <c:numRef>
              <c:f>Pivot_Kent!$B$14:$B$17</c:f>
              <c:numCache>
                <c:formatCode>0.0%</c:formatCode>
                <c:ptCount val="4"/>
                <c:pt idx="0">
                  <c:v>0.74327272727272731</c:v>
                </c:pt>
                <c:pt idx="1">
                  <c:v>0.72940959579665388</c:v>
                </c:pt>
                <c:pt idx="2">
                  <c:v>0.69693819693819692</c:v>
                </c:pt>
                <c:pt idx="3">
                  <c:v>0.50946015048579152</c:v>
                </c:pt>
              </c:numCache>
            </c:numRef>
          </c:val>
          <c:extLst>
            <c:ext xmlns:c16="http://schemas.microsoft.com/office/drawing/2014/chart" uri="{C3380CC4-5D6E-409C-BE32-E72D297353CC}">
              <c16:uniqueId val="{00000000-53AA-F84D-8158-1C0E86827FB6}"/>
            </c:ext>
          </c:extLst>
        </c:ser>
        <c:dLbls>
          <c:dLblPos val="ctr"/>
          <c:showLegendKey val="0"/>
          <c:showVal val="1"/>
          <c:showCatName val="0"/>
          <c:showSerName val="0"/>
          <c:showPercent val="0"/>
          <c:showBubbleSize val="0"/>
        </c:dLbls>
        <c:gapWidth val="182"/>
        <c:axId val="1514073920"/>
        <c:axId val="1514070336"/>
      </c:barChart>
      <c:catAx>
        <c:axId val="151407392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4070336"/>
        <c:crosses val="autoZero"/>
        <c:auto val="1"/>
        <c:lblAlgn val="ctr"/>
        <c:lblOffset val="100"/>
        <c:noMultiLvlLbl val="0"/>
      </c:catAx>
      <c:valAx>
        <c:axId val="1514070336"/>
        <c:scaling>
          <c:orientation val="minMax"/>
        </c:scaling>
        <c:delete val="0"/>
        <c:axPos val="t"/>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73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165100</xdr:colOff>
      <xdr:row>19</xdr:row>
      <xdr:rowOff>38100</xdr:rowOff>
    </xdr:from>
    <xdr:to>
      <xdr:col>3</xdr:col>
      <xdr:colOff>1231900</xdr:colOff>
      <xdr:row>58</xdr:row>
      <xdr:rowOff>139700</xdr:rowOff>
    </xdr:to>
    <xdr:graphicFrame macro="">
      <xdr:nvGraphicFramePr>
        <xdr:cNvPr id="3" name="Chart 2">
          <a:extLst>
            <a:ext uri="{FF2B5EF4-FFF2-40B4-BE49-F238E27FC236}">
              <a16:creationId xmlns:a16="http://schemas.microsoft.com/office/drawing/2014/main" id="{5D9EFC45-DBB5-72D5-6413-9D6B0F18B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ajide Abdulahi Ogundare" refreshedDate="46313.458283564818" createdVersion="1" refreshedVersion="8" recordCount="192" upgradeOnRefresh="1" xr:uid="{047AC890-64C4-FC4E-8059-298A991A9BEB}">
  <cacheSource type="worksheet">
    <worksheetSource ref="A1:N193" sheet="AE_Clean"/>
  </cacheSource>
  <cacheFields count="16">
    <cacheField name="Code" numFmtId="0">
      <sharedItems containsBlank="1" count="192">
        <s v="RC9"/>
        <s v="RGT"/>
        <s v="RWH"/>
        <s v="RDE"/>
        <s v="RY4"/>
        <s v="DT301"/>
        <s v="RGP"/>
        <s v="RAJ"/>
        <s v="RD8"/>
        <s v="RM1"/>
        <s v="RGN"/>
        <s v="Y02428"/>
        <s v="RQW"/>
        <s v="RCX"/>
        <s v="RWG"/>
        <s v="RGR"/>
        <s v="G0Q0L"/>
        <s v="RF4"/>
        <s v="R1H"/>
        <s v="AD913"/>
        <s v="RYX"/>
        <s v="RQM"/>
        <s v="RJ6"/>
        <s v="RVR"/>
        <s v="RJ1"/>
        <s v="K6K0R"/>
        <s v="RQX"/>
        <s v="RYJ"/>
        <s v="RJZ"/>
        <s v="RAX"/>
        <s v="RJ2"/>
        <s v="R1K"/>
        <s v="RP6"/>
        <s v="RAT"/>
        <s v="RAL"/>
        <s v="RAN"/>
        <s v="RJ7"/>
        <s v="RAS"/>
        <s v="RRV"/>
        <s v="RKE"/>
        <s v="RQ3"/>
        <s v="RFS"/>
        <s v="RYG"/>
        <s v="RY8"/>
        <s v="NNJ"/>
        <s v="NNJ10"/>
        <s v="RLT"/>
        <s v="RNQ"/>
        <s v="C82038"/>
        <s v="RY5"/>
        <s v="NNJ0H"/>
        <s v="NNJ07"/>
        <s v="NNJ11"/>
        <s v="NNJ12"/>
        <s v="C82009"/>
        <s v="NNJ13"/>
        <s v="RNS"/>
        <s v="RX1"/>
        <s v="NNJ14"/>
        <s v="NNJ15"/>
        <s v="RXK"/>
        <s v="RK5"/>
        <s v="R1D"/>
        <s v="C83023"/>
        <s v="RJC"/>
        <s v="RNA"/>
        <s v="RL1"/>
        <s v="RL4"/>
        <s v="RXW"/>
        <s v="RWD"/>
        <s v="RRK"/>
        <s v="RKB"/>
        <s v="RTG"/>
        <s v="RWE"/>
        <s v="RJE"/>
        <s v="RBK"/>
        <s v="RWP"/>
        <s v="RLQ"/>
        <s v="RCF"/>
        <s v="RFF"/>
        <s v="RAE"/>
        <s v="NNF09"/>
        <s v="NNF16"/>
        <s v="RWY"/>
        <s v="RXP"/>
        <s v="RP5"/>
        <s v="NNF94"/>
        <s v="RR7"/>
        <s v="NNFA7"/>
        <s v="RCD"/>
        <s v="RWA"/>
        <s v="RV9"/>
        <s v="RR8"/>
        <s v="ARN03"/>
        <s v="RXF"/>
        <s v="RNN"/>
        <s v="RVW"/>
        <s v="RJL"/>
        <s v="RTF"/>
        <s v="RCU"/>
        <s v="RHQ"/>
        <s v="RTR"/>
        <s v="R0B"/>
        <s v="RXG"/>
        <s v="RTD"/>
        <s v="RFR"/>
        <s v="AJN"/>
        <s v="RCB"/>
        <s v="RBS"/>
        <s v="RXL"/>
        <s v="RMC"/>
        <s v="RJR"/>
        <s v="RJN"/>
        <s v="RXR"/>
        <s v="RXN"/>
        <s v="RBQ"/>
        <s v="REM"/>
        <s v="REP"/>
        <s v="R0A"/>
        <s v="RBN"/>
        <s v="RW4"/>
        <s v="RBT"/>
        <s v="Y02532"/>
        <s v="RWW"/>
        <s v="RM3"/>
        <s v="NV693"/>
        <s v="NQT5F"/>
        <s v="RWJ"/>
        <s v="RMP"/>
        <s v="RBV"/>
        <s v="RET"/>
        <s v="RTX"/>
        <s v="RY7"/>
        <s v="RBL"/>
        <s v="RRF"/>
        <s v="RTK"/>
        <s v="NTV0B"/>
        <s v="RWX"/>
        <s v="Y02676"/>
        <s v="RXQ"/>
        <s v="RN7"/>
        <s v="RVV"/>
        <s v="RXC"/>
        <s v="AQM01"/>
        <s v="NDJ"/>
        <s v="RDU"/>
        <s v="RW1"/>
        <s v="RN5"/>
        <s v="NVE43"/>
        <s v="DJV01"/>
        <s v="R1F"/>
        <s v="RYY"/>
        <s v="RWF"/>
        <s v="RPA"/>
        <s v="RNU"/>
        <s v="RTH"/>
        <s v="AQN04"/>
        <s v="RHU"/>
        <s v="NTP11"/>
        <s v="NTPAD"/>
        <s v="RPC"/>
        <s v="RHW"/>
        <s v="RA2"/>
        <s v="RTP"/>
        <s v="RDR"/>
        <s v="RHM"/>
        <s v="RYR"/>
        <s v="ACH01"/>
        <s v="NTV0W"/>
        <s v="RA7"/>
        <s v="NQT1I"/>
        <s v="RJ8"/>
        <s v="RBD"/>
        <s v="RDY"/>
        <s v="RTQ"/>
        <s v="RTE"/>
        <s v="RN3"/>
        <s v="L83087"/>
        <s v="NQT5H"/>
        <s v="REF"/>
        <s v="RH8"/>
        <s v="RD1"/>
        <s v="RNZ"/>
        <s v="NLX"/>
        <s v="RH5"/>
        <s v="RYF"/>
        <s v="AAH"/>
        <s v="RA9"/>
        <s v="G3P9C"/>
        <s v="R0D"/>
        <s v="RK9"/>
        <m/>
      </sharedItems>
    </cacheField>
    <cacheField name="Region" numFmtId="0">
      <sharedItems containsBlank="1"/>
    </cacheField>
    <cacheField name="Provider" numFmtId="0">
      <sharedItems containsBlank="1" count="192">
        <s v="Bedfordshire Hospitals NHS Foundation Trust"/>
        <s v="Cambridge University Hospitals NHS Foundation Trust"/>
        <s v="East And North Hertfordshire Teaching NHS Trust"/>
        <s v="East Suffolk And North Essex NHS Foundation Trust"/>
        <s v="Hertfordshire Community NHS Trust"/>
        <s v="Herts Urgent Care (Ascots Lane)"/>
        <s v="James Paget University Hospitals NHS Foundation Trust"/>
        <s v="Mid And South Essex NHS Foundation Trust"/>
        <s v="Milton Keynes University Hospital NHS Foundation Trust"/>
        <s v="Norfolk And Norwich University Hospitals NHS Foundation Trust"/>
        <s v="North West Anglia NHS Foundation Trust"/>
        <s v="Putnoe Walk In Centre"/>
        <s v="The Princess Alexandra Hospital NHS Trust"/>
        <s v="The Queen Elizabeth Hospital, King's Lynn, NHS Foundation Trust"/>
        <s v="West Hertfordshire Teaching Hospitals NHS Trust"/>
        <s v="West Suffolk NHS Foundation Trust"/>
        <s v="Barking Hospital Utc"/>
        <s v="Barking, Havering And Redbridge University Hospitals NHS Trust"/>
        <s v="Barts Health NHS Trust"/>
        <s v="Beckenham Beacon Ucc"/>
        <s v="Central London Community Healthcare NHS Trust"/>
        <s v="Chelsea And Westminster Hospital NHS Foundation Trust"/>
        <s v="Croydon Health Services NHS Trust"/>
        <s v="Epsom And St Helier University Hospitals NHS Trust"/>
        <s v="Guy's And St Thomas' NHS Foundation Trust"/>
        <s v="Harold Wood Polyclinic Utc"/>
        <s v="Homerton Healthcare NHS Foundation Trust"/>
        <s v="Imperial College Healthcare NHS Trust"/>
        <s v="King's College Hospital NHS Foundation Trust"/>
        <s v="Kingston And Richmond NHS Foundation Trust"/>
        <s v="Lewisham And Greenwich NHS Trust"/>
        <s v="London North West University Healthcare NHS Trust"/>
        <s v="Moorfields Eye Hospital NHS Foundation Trust"/>
        <s v="North East London NHS Foundation Trust"/>
        <s v="Royal Free London NHS Foundation Trust"/>
        <s v="Royal National Orthopaedic Hospital NHS Trust"/>
        <s v="St George's University Hospitals NHS Foundation Trust"/>
        <s v="The Hillingdon Hospitals NHS Foundation Trust"/>
        <s v="University College London Hospitals NHS Foundation Trust"/>
        <s v="Whittington Health NHS Trust"/>
        <s v="Birmingham Women's And Children's NHS Foundation Trust"/>
        <s v="Chesterfield Royal Hospital NHS Foundation Trust"/>
        <s v="Coventry And Warwickshire Partnership NHS Trust"/>
        <s v="Derbyshire Community Health Services NHS Foundation Trust"/>
        <s v="Dhu Health Care C.I.C"/>
        <s v="Enderby Leisure Centre"/>
        <s v="George Eliot Hospital NHS Trust"/>
        <s v="Kettering General Hospital NHS Foundation Trust"/>
        <s v="Latham House Medical Practice"/>
        <s v="Lincolnshire Community Health Services NHS Trust"/>
        <s v="Llr Ea - The Merlyn Vaz Health &amp; Social Care Centre"/>
        <s v="Loughborough Urgent Care Centre"/>
        <s v="Lutterworth Hospital"/>
        <s v="Market Harborough"/>
        <s v="Market Harborough Med.Ctr"/>
        <s v="Melton Mowbray"/>
        <s v="Northampton General Hospital NHS Trust"/>
        <s v="Nottingham University Hospitals NHS Trust"/>
        <s v="Oadby"/>
        <s v="Rutland Minor Illness And Injury Service (Formerly Wlhh Pre-April 2026)"/>
        <s v="Sandwell And West Birmingham Hospitals NHS Trust"/>
        <s v="Sherwood Forest Hospitals NHS Foundation Trust"/>
        <s v="Shropshire Community Health NHS Trust"/>
        <s v="Sleaford Medical Group"/>
        <s v="South Warwickshire University NHS Foundation Trust"/>
        <s v="The Dudley Group NHS Foundation Trust"/>
        <s v="The Robert Jones And Agnes Hunt Orthopaedic Hospital NHS Foundation Trust"/>
        <s v="The Royal Wolverhampton NHS Trust"/>
        <s v="The Shrewsbury And Telford Hospital NHS Trust"/>
        <s v="United Lincolnshire Teaching Hospitals NHS Trust"/>
        <s v="University Hospitals Birmingham NHS Foundation Trust"/>
        <s v="University Hospitals Coventry And Warwickshire NHS Trust"/>
        <s v="University Hospitals Of Derby And Burton NHS Foundation Trust"/>
        <s v="University Hospitals Of Leicester NHS Trust"/>
        <s v="University Hospitals Of North Midlands NHS Trust"/>
        <s v="Walsall Healthcare NHS Trust"/>
        <s v="Worcestershire Acute Hospitals NHS Trust"/>
        <s v="Wye Valley NHS Trust"/>
        <s v="Airedale NHS Foundation Trust"/>
        <s v="Barnsley Hospital NHS Foundation Trust"/>
        <s v="Bradford Teaching Hospitals NHS Foundation Trust"/>
        <s v="Bransholme Health Centre"/>
        <s v="Bridlington Hospital"/>
        <s v="Calderdale And Huddersfield NHS Foundation Trust"/>
        <s v="County Durham And Darlington NHS Foundation Trust"/>
        <s v="Doncaster And Bassetlaw Teaching Hospitals NHS Foundation Trust"/>
        <s v="East Riding Community Hospital"/>
        <s v="Gateshead Health NHS Foundation Trust"/>
        <s v="Goole &amp; District Hospital"/>
        <s v="Harrogate And District NHS Foundation Trust"/>
        <s v="Hull University Teaching Hospitals NHS Trust"/>
        <s v="Humber Teaching NHS Foundation Trust"/>
        <s v="Leeds Teaching Hospitals NHS Trust"/>
        <s v="Local Care Direct"/>
        <s v="Mid Yorkshire Teaching NHS Trust"/>
        <s v="North Cumbria Integrated Care NHS Foundation Trust"/>
        <s v="North Tees And Hartlepool NHS Foundation Trust"/>
        <s v="Northern Lincolnshire And Goole NHS Foundation Trust"/>
        <s v="Northumbria Healthcare NHS Foundation Trust"/>
        <s v="Sheffield Children's NHS Foundation Trust"/>
        <s v="Sheffield Teaching Hospitals NHS Foundation Trust"/>
        <s v="South Tees Hospitals NHS Foundation Trust"/>
        <s v="South Tyneside And Sunderland NHS Foundation Trust"/>
        <s v="South West Yorkshire Partnership Teaching NHS Foundation Trust"/>
        <s v="The Newcastle Upon Tyne Hospitals NHS Foundation Trust"/>
        <s v="The Rotherham NHS Foundation Trust"/>
        <s v="Workington Health Limited"/>
        <s v="York And Scarborough Teaching Hospitals NHS Foundation Trust"/>
        <s v="Alder Hey Children's NHS Foundation Trust"/>
        <s v="Blackpool Teaching Hospitals NHS Foundation Trust"/>
        <s v="Bolton NHS Foundation Trust"/>
        <s v="Countess Of Chester Hospital NHS Foundation Trust"/>
        <s v="East Cheshire NHS Trust"/>
        <s v="East Lancashire Hospitals NHS Trust"/>
        <s v="Lancashire Teaching Hospitals NHS Foundation Trust"/>
        <s v="Liverpool Heart And Chest Hospital NHS Foundation Trust"/>
        <s v="Liverpool University Hospitals NHS Foundation Trust"/>
        <s v="Liverpool Women's NHS Foundation Trust"/>
        <s v="Manchester University NHS Foundation Trust"/>
        <s v="Mersey And West Lancashire Teaching Hospitals NHS Trust"/>
        <s v="Mersey Care NHS Foundation Trust"/>
        <s v="Mid Cheshire Hospitals NHS Foundation Trust"/>
        <s v="Miriam Minor Emergency"/>
        <s v="North Cheshire And Mersey NHS Foundation Trust"/>
        <s v="Northern Care Alliance NHS Foundation Trust"/>
        <s v="Rossendale Miu &amp; Ooh"/>
        <s v="Skelmersdale Walk In Centre"/>
        <s v="Stockport NHS Foundation Trust"/>
        <s v="Tameside And Glossop Integrated Care NHS Foundation Trust"/>
        <s v="The Christie NHS Foundation Trust"/>
        <s v="The Walton Centre NHS Foundation Trust"/>
        <s v="University Hospitals Of Morecambe Bay NHS Foundation Trust"/>
        <s v="Wirral Community Health And Care NHS Foundation Trust"/>
        <s v="Wirral University Teaching Hospital NHS Foundation Trust"/>
        <s v="Wrightington, Wigan And Leigh Teaching Hospitals NHS Foundation Trust"/>
        <s v="Ashford And St Peter's Hospitals NHS Foundation Trust"/>
        <s v="Ashford Walk-In-Centre"/>
        <s v="Berkshire Healthcare NHS Foundation Trust"/>
        <s v="Brighton Station Health Centre"/>
        <s v="Buckinghamshire Healthcare NHS Trust"/>
        <s v="Dartford And Gravesham NHS Trust"/>
        <s v="East Kent Hospitals University NHS Foundation Trust"/>
        <s v="East Sussex Healthcare NHS Trust"/>
        <s v="Faversham Medical Practice Miu"/>
        <s v="First Community Health And Care Cic"/>
        <s v="Frimley Health NHS Foundation Trust"/>
        <s v="Hampshire And Isle Of Wight Healthcare NHS Foundation Trust"/>
        <s v="Hampshire Hospitals NHS Foundation Trust"/>
        <s v="Hastings GP Led Health Centre"/>
        <s v="Herne Bay Health Care Ltd"/>
        <s v="Isle Of Wight NHS Trust"/>
        <s v="Kent Community Health NHS Foundation Trust"/>
        <s v="Maidstone And Tunbridge Wells NHS Trust"/>
        <s v="Medway NHS Foundation Trust"/>
        <s v="Oxford Health NHS Foundation Trust"/>
        <s v="Oxford University Hospitals NHS Foundation Trust"/>
        <s v="Phl Lymington Utc"/>
        <s v="Portsmouth Hospitals University NHS Trust"/>
        <s v="Practice Plus Group Hospital - Southampton"/>
        <s v="Practice Plus Group Surgical Centre - St Marys Portsmouth"/>
        <s v="Queen Victoria Hospital NHS Foundation Trust"/>
        <s v="Royal Berkshire NHS Foundation Trust"/>
        <s v="Royal Surrey NHS Foundation Trust"/>
        <s v="Surrey And Sussex Healthcare NHS Trust"/>
        <s v="Sussex Community NHS Foundation Trust"/>
        <s v="University Hospital Southampton NHS Foundation Trust"/>
        <s v="University Hospitals Sussex NHS Foundation Trust"/>
        <s v="Whitstable Medical Practice"/>
        <s v="Woking Walk In Centre"/>
        <s v="Bristol NHS Foundation Trust"/>
        <s v="Chippenham Community Hospital"/>
        <s v="Cornwall Partnership NHS Foundation Trust"/>
        <s v="Dorset County Hospital NHS Foundation Trust"/>
        <s v="Dorset Healthcare University NHS Foundation Trust"/>
        <s v="Gloucestershire Health And Care NHS Foundation Trust"/>
        <s v="Gloucestershire Hospitals NHS Foundation Trust"/>
        <s v="Great Western Hospitals NHS Foundation Trust"/>
        <s v="Okehampton Medical Centre"/>
        <s v="Paulton Memorial Hospital"/>
        <s v="Royal Cornwall Hospitals NHS Trust"/>
        <s v="Royal Devon University Healthcare NHS Foundation Trust"/>
        <s v="Royal United Hospitals Bath NHS Foundation Trust"/>
        <s v="Salisbury NHS Foundation Trust"/>
        <s v="Sirona Care &amp; Health"/>
        <s v="Somerset NHS Foundation Trust"/>
        <s v="South Western Ambulance Service NHS Foundation Trust"/>
        <s v="Tetbury Hospital Trust Ltd"/>
        <s v="Torbay And South Devon NHS Foundation Trust"/>
        <s v="Trowbridge Minor Injuries Unit"/>
        <s v="University Hospitals Dorset NHS Foundation Trust"/>
        <s v="University Hospitals Plymouth NHS Trust"/>
        <m/>
      </sharedItems>
    </cacheField>
    <cacheField name="T1_Att" numFmtId="3">
      <sharedItems containsString="0" containsBlank="1" containsNumber="1" containsInteger="1" minValue="0" maxValue="34437"/>
    </cacheField>
    <cacheField name="T2_Att" numFmtId="3">
      <sharedItems containsString="0" containsBlank="1" containsNumber="1" containsInteger="1" minValue="0" maxValue="6569"/>
    </cacheField>
    <cacheField name="T3_Att" numFmtId="3">
      <sharedItems containsString="0" containsBlank="1" containsNumber="1" containsInteger="1" minValue="0" maxValue="18702"/>
    </cacheField>
    <cacheField name="Total_Att" numFmtId="3">
      <sharedItems containsSemiMixedTypes="0" containsString="0" containsNumber="1" containsInteger="1" minValue="0" maxValue="2444743"/>
    </cacheField>
    <cacheField name="T1_WithIn4" numFmtId="3">
      <sharedItems containsString="0" containsBlank="1" containsNumber="1" containsInteger="1" minValue="0" maxValue="19748"/>
    </cacheField>
    <cacheField name="T2_WithIn4" numFmtId="3">
      <sharedItems containsString="0" containsBlank="1" containsNumber="1" containsInteger="1" minValue="0" maxValue="6085"/>
    </cacheField>
    <cacheField name="T3_WithIn4" numFmtId="3">
      <sharedItems containsString="0" containsBlank="1" containsNumber="1" containsInteger="1" minValue="0" maxValue="17167"/>
    </cacheField>
    <cacheField name="Total _WithIn4" numFmtId="3">
      <sharedItems containsString="0" containsBlank="1" containsNumber="1" containsInteger="1" minValue="0" maxValue="36121"/>
    </cacheField>
    <cacheField name="AllTypes_4hr_pct" numFmtId="10">
      <sharedItems containsBlank="1" containsMixedTypes="1" containsNumber="1" minValue="0.49844107254209102" maxValue="1"/>
    </cacheField>
    <cacheField name="Type1_4hr_pct" numFmtId="10">
      <sharedItems containsBlank="1" containsMixedTypes="1" containsNumber="1" minValue="0.36230608427769834" maxValue="0.89597243161748874"/>
    </cacheField>
    <cacheField name="ICB" numFmtId="0">
      <sharedItems containsBlank="1" count="37">
        <s v="NHS Central East Integrated Care Board  "/>
        <s v="NHS Norfolk and Suffolk Integrated Care Board"/>
        <s v="NHS Essex Integrated Care Board"/>
        <s v="NHS North East London Integrated Care Board"/>
        <s v="NHS South East London Integrated Care Board"/>
        <s v="NHS West and North London Integrated Care Board"/>
        <s v="NHS South West London Integrated Care Board"/>
        <s v="NHS Birmingham And Solihull Integrated Care Board"/>
        <s v="NHS Derby And Derbyshire Integrated Care Board"/>
        <s v="NHS Coventry And Warwickshire Integrated Care Board"/>
        <s v="NHS Leicester, Leicestershire And Rutland Integrated Care Board"/>
        <s v="NHS Northamptonshire Integrated Care Board"/>
        <s v="NHS Lincolnshire Integrated Care Board"/>
        <s v="NHS Nottingham And Nottinghamshire Integrated Care Board"/>
        <s v="NHS Black Country Integrated Care Board"/>
        <s v="NHS Shropshire, Telford And Wrekin Integrated Care Board"/>
        <s v="NHS Staffordshire And Stoke-On-Trent Integrated Care Board"/>
        <s v="NHS Herefordshire And Worcestershire Integrated Care Board"/>
        <s v="NHS West Yorkshire Integrated Care Board"/>
        <s v="NHS South Yorkshire Integrated Care Board"/>
        <s v="NHS Humber And North Yorkshire Integrated Care Board"/>
        <s v="NHS North East And North Cumbria Integrated Care Board"/>
        <s v="NHS Cheshire And Merseyside Integrated Care Board"/>
        <s v="NHS Lancashire And South Cumbria Integrated Care Board"/>
        <s v="NHS Greater Manchester Integrated Care Board"/>
        <s v="NHS Surrey and Sussex Integrated Care Board"/>
        <s v="NHS Thames Valley Integrated Care Board"/>
        <s v="NHS Kent And Medway Integrated Care Board"/>
        <s v="NHS Hampshire And Isle Of Wight Integrated Care Board"/>
        <s v="NHS Bristol, North Somerset And South Gloucestershire Integrated Care Board"/>
        <s v="NHS Bath And North East Somerset, Swindon And Wiltshire Integrated Care Board"/>
        <s v="NHS Cornwall And The Isles Of Scilly Integrated Care Board"/>
        <s v="NHS Dorset Integrated Care Board"/>
        <s v="NHS Gloucestershire Integrated Care Board"/>
        <s v="NHS Devon Integrated Care Board"/>
        <s v="NHS Somerset Integrated Care Board"/>
        <m/>
      </sharedItems>
    </cacheField>
    <cacheField name="Type1_pct" numFmtId="0" formula="T1_WithIn4/T1_Att" databaseField="0"/>
    <cacheField name="All_pct" numFmtId="0" formula="'Total _WithIn4'/Total_Att"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s v="NHS England East Of England "/>
    <x v="0"/>
    <n v="18509"/>
    <n v="0"/>
    <n v="8667"/>
    <n v="27176"/>
    <n v="11566"/>
    <n v="0"/>
    <n v="8667"/>
    <n v="20233"/>
    <n v="0.74451722107742124"/>
    <n v="0.62488519098816797"/>
    <x v="0"/>
  </r>
  <r>
    <x v="1"/>
    <s v="NHS England East Of England "/>
    <x v="1"/>
    <n v="12085"/>
    <n v="0"/>
    <n v="5862"/>
    <n v="17947"/>
    <n v="6528"/>
    <n v="0"/>
    <n v="5762"/>
    <n v="12290"/>
    <n v="0.68479411600824647"/>
    <n v="0.54017376913529169"/>
    <x v="0"/>
  </r>
  <r>
    <x v="2"/>
    <s v="NHS England East Of England "/>
    <x v="2"/>
    <n v="9588"/>
    <n v="0"/>
    <n v="9229"/>
    <n v="18817"/>
    <n v="4512"/>
    <n v="0"/>
    <n v="9107"/>
    <n v="13619"/>
    <n v="0.7237604293989478"/>
    <n v="0.47058823529411764"/>
    <x v="0"/>
  </r>
  <r>
    <x v="3"/>
    <s v="NHS England East Of England "/>
    <x v="3"/>
    <n v="12846"/>
    <n v="0"/>
    <n v="12888"/>
    <n v="25734"/>
    <n v="7552"/>
    <n v="0"/>
    <n v="11936"/>
    <n v="19488"/>
    <n v="0.75728608067148517"/>
    <n v="0.58788728008718671"/>
    <x v="1"/>
  </r>
  <r>
    <x v="4"/>
    <s v="NHS England East Of England "/>
    <x v="4"/>
    <n v="0"/>
    <n v="0"/>
    <n v="1195"/>
    <n v="1195"/>
    <n v="0"/>
    <n v="0"/>
    <n v="1129"/>
    <n v="1129"/>
    <n v="0.94476987447698746"/>
    <s v=""/>
    <x v="0"/>
  </r>
  <r>
    <x v="5"/>
    <s v="NHS England East Of England "/>
    <x v="5"/>
    <n v="0"/>
    <n v="0"/>
    <n v="2328"/>
    <n v="2328"/>
    <n v="0"/>
    <n v="0"/>
    <n v="2208"/>
    <n v="2208"/>
    <n v="0.94845360824742264"/>
    <s v=""/>
    <x v="0"/>
  </r>
  <r>
    <x v="6"/>
    <s v="NHS England East Of England "/>
    <x v="6"/>
    <n v="7874"/>
    <n v="0"/>
    <n v="1582"/>
    <n v="9456"/>
    <n v="4655"/>
    <n v="0"/>
    <n v="1582"/>
    <n v="6237"/>
    <n v="0.65958121827411165"/>
    <n v="0.59118618237236475"/>
    <x v="1"/>
  </r>
  <r>
    <x v="7"/>
    <s v="NHS England East Of England "/>
    <x v="7"/>
    <n v="28628"/>
    <n v="0"/>
    <n v="8515"/>
    <n v="37143"/>
    <n v="17700"/>
    <n v="0"/>
    <n v="8154"/>
    <n v="25854"/>
    <n v="0.69606655359017855"/>
    <n v="0.61827581388850072"/>
    <x v="2"/>
  </r>
  <r>
    <x v="8"/>
    <s v="NHS England East Of England "/>
    <x v="8"/>
    <n v="9420"/>
    <n v="0"/>
    <n v="6789"/>
    <n v="16209"/>
    <n v="4770"/>
    <n v="0"/>
    <n v="6611"/>
    <n v="11381"/>
    <n v="0.70214078598309582"/>
    <n v="0.50636942675159236"/>
    <x v="0"/>
  </r>
  <r>
    <x v="9"/>
    <s v="NHS England East Of England "/>
    <x v="9"/>
    <n v="13687"/>
    <n v="0"/>
    <n v="8042"/>
    <n v="21729"/>
    <n v="9311"/>
    <n v="0"/>
    <n v="8035"/>
    <n v="17346"/>
    <n v="0.7982880022090294"/>
    <n v="0.68028055819390665"/>
    <x v="1"/>
  </r>
  <r>
    <x v="10"/>
    <s v="NHS England East Of England "/>
    <x v="10"/>
    <n v="17985"/>
    <n v="0"/>
    <n v="3887"/>
    <n v="21872"/>
    <n v="10986"/>
    <n v="0"/>
    <n v="3617"/>
    <n v="14603"/>
    <n v="0.66765727871250913"/>
    <n v="0.61084236864053376"/>
    <x v="0"/>
  </r>
  <r>
    <x v="11"/>
    <s v="NHS England East Of England "/>
    <x v="11"/>
    <n v="0"/>
    <n v="0"/>
    <n v="2335"/>
    <n v="2335"/>
    <n v="0"/>
    <n v="0"/>
    <n v="2335"/>
    <n v="2335"/>
    <n v="1"/>
    <s v=""/>
    <x v="0"/>
  </r>
  <r>
    <x v="12"/>
    <s v="NHS England East Of England "/>
    <x v="12"/>
    <n v="9234"/>
    <n v="0"/>
    <n v="2565"/>
    <n v="11799"/>
    <n v="6590"/>
    <n v="0"/>
    <n v="2565"/>
    <n v="9155"/>
    <n v="0.77591321298415117"/>
    <n v="0.71366688325752659"/>
    <x v="2"/>
  </r>
  <r>
    <x v="13"/>
    <s v="NHS England East Of England "/>
    <x v="13"/>
    <n v="6636"/>
    <n v="0"/>
    <n v="1297"/>
    <n v="7933"/>
    <n v="3844"/>
    <n v="0"/>
    <n v="1297"/>
    <n v="5141"/>
    <n v="0.64805243917811672"/>
    <n v="0.57926461723930078"/>
    <x v="1"/>
  </r>
  <r>
    <x v="14"/>
    <s v="NHS England East Of England "/>
    <x v="14"/>
    <n v="8453"/>
    <n v="0"/>
    <n v="9787"/>
    <n v="18240"/>
    <n v="6176"/>
    <n v="0"/>
    <n v="9733"/>
    <n v="15909"/>
    <n v="0.87220394736842111"/>
    <n v="0.73062817934461133"/>
    <x v="0"/>
  </r>
  <r>
    <x v="15"/>
    <s v="NHS England East Of England "/>
    <x v="15"/>
    <n v="8324"/>
    <n v="0"/>
    <n v="940"/>
    <n v="9264"/>
    <n v="6633"/>
    <n v="0"/>
    <n v="940"/>
    <n v="7573"/>
    <n v="0.81746545768566492"/>
    <n v="0.79685247477174437"/>
    <x v="1"/>
  </r>
  <r>
    <x v="16"/>
    <s v="NHS England London"/>
    <x v="16"/>
    <n v="0"/>
    <n v="0"/>
    <n v="2883"/>
    <n v="2883"/>
    <n v="0"/>
    <n v="0"/>
    <n v="2851"/>
    <n v="2851"/>
    <n v="0.98890045091918144"/>
    <s v=""/>
    <x v="3"/>
  </r>
  <r>
    <x v="17"/>
    <s v="NHS England London"/>
    <x v="17"/>
    <n v="14321"/>
    <n v="2471"/>
    <n v="16018"/>
    <n v="32810"/>
    <n v="9013"/>
    <n v="2212"/>
    <n v="15578"/>
    <n v="26803"/>
    <n v="0.81691557451996344"/>
    <n v="0.6293554919349208"/>
    <x v="3"/>
  </r>
  <r>
    <x v="18"/>
    <s v="NHS England London"/>
    <x v="18"/>
    <n v="27253"/>
    <n v="895"/>
    <n v="18702"/>
    <n v="46850"/>
    <n v="16611"/>
    <n v="894"/>
    <n v="17167"/>
    <n v="34672"/>
    <n v="0.74006403415154753"/>
    <n v="0.60951087953619787"/>
    <x v="3"/>
  </r>
  <r>
    <x v="19"/>
    <s v="NHS England London"/>
    <x v="19"/>
    <n v="0"/>
    <n v="0"/>
    <n v="3736"/>
    <n v="3736"/>
    <n v="0"/>
    <n v="0"/>
    <n v="3722"/>
    <n v="3722"/>
    <n v="0.99625267665952888"/>
    <s v=""/>
    <x v="4"/>
  </r>
  <r>
    <x v="20"/>
    <s v="NHS England London"/>
    <x v="20"/>
    <n v="0"/>
    <n v="0"/>
    <n v="14327"/>
    <n v="14327"/>
    <n v="0"/>
    <n v="0"/>
    <n v="13935"/>
    <n v="13935"/>
    <n v="0.97263907307880226"/>
    <s v=""/>
    <x v="5"/>
  </r>
  <r>
    <x v="21"/>
    <s v="NHS England London"/>
    <x v="21"/>
    <n v="21929"/>
    <n v="0"/>
    <n v="6840"/>
    <n v="28769"/>
    <n v="15910"/>
    <n v="0"/>
    <n v="6520"/>
    <n v="22430"/>
    <n v="0.77965866036358578"/>
    <n v="0.72552327967531582"/>
    <x v="5"/>
  </r>
  <r>
    <x v="22"/>
    <s v="NHS England London"/>
    <x v="22"/>
    <n v="13804"/>
    <n v="0"/>
    <n v="4657"/>
    <n v="18461"/>
    <n v="8710"/>
    <n v="0"/>
    <n v="4657"/>
    <n v="13367"/>
    <n v="0.72406695195276527"/>
    <n v="0.63097652854245145"/>
    <x v="6"/>
  </r>
  <r>
    <x v="23"/>
    <s v="NHS England London"/>
    <x v="23"/>
    <n v="11638"/>
    <n v="0"/>
    <n v="2921"/>
    <n v="14559"/>
    <n v="7829"/>
    <n v="0"/>
    <n v="2485"/>
    <n v="10314"/>
    <n v="0.70842777663301049"/>
    <n v="0.67271008764392504"/>
    <x v="6"/>
  </r>
  <r>
    <x v="24"/>
    <s v="NHS England London"/>
    <x v="24"/>
    <n v="11004"/>
    <n v="0"/>
    <n v="7279"/>
    <n v="18283"/>
    <n v="6731"/>
    <n v="0"/>
    <n v="7062"/>
    <n v="13793"/>
    <n v="0.75441667122463496"/>
    <n v="0.61168665939658307"/>
    <x v="4"/>
  </r>
  <r>
    <x v="25"/>
    <s v="NHS England London"/>
    <x v="25"/>
    <n v="0"/>
    <n v="0"/>
    <n v="2752"/>
    <n v="2752"/>
    <n v="0"/>
    <n v="0"/>
    <n v="2727"/>
    <n v="2727"/>
    <n v="0.99091569767441856"/>
    <s v=""/>
    <x v="3"/>
  </r>
  <r>
    <x v="26"/>
    <s v="NHS England London"/>
    <x v="26"/>
    <n v="11472"/>
    <n v="0"/>
    <n v="0"/>
    <n v="11472"/>
    <n v="9004"/>
    <n v="0"/>
    <n v="0"/>
    <n v="9004"/>
    <n v="0.78486750348675038"/>
    <n v="0.78486750348675038"/>
    <x v="3"/>
  </r>
  <r>
    <x v="27"/>
    <s v="NHS England London"/>
    <x v="27"/>
    <n v="12877"/>
    <n v="4284"/>
    <n v="7902"/>
    <n v="25063"/>
    <n v="7374"/>
    <n v="4003"/>
    <n v="7538"/>
    <n v="18915"/>
    <n v="0.75469816063519934"/>
    <n v="0.5726489089073542"/>
    <x v="5"/>
  </r>
  <r>
    <x v="28"/>
    <s v="NHS England London"/>
    <x v="28"/>
    <n v="16246"/>
    <n v="0"/>
    <n v="11134"/>
    <n v="27380"/>
    <n v="8415"/>
    <n v="0"/>
    <n v="10521"/>
    <n v="18936"/>
    <n v="0.69159970781592406"/>
    <n v="0.51797365505355164"/>
    <x v="4"/>
  </r>
  <r>
    <x v="29"/>
    <s v="NHS England London"/>
    <x v="29"/>
    <n v="7544"/>
    <n v="0"/>
    <n v="8597"/>
    <n v="16141"/>
    <n v="3132"/>
    <n v="0"/>
    <n v="8064"/>
    <n v="11196"/>
    <n v="0.69363732110773801"/>
    <n v="0.41516436903499471"/>
    <x v="6"/>
  </r>
  <r>
    <x v="30"/>
    <s v="NHS England London"/>
    <x v="30"/>
    <n v="16492"/>
    <n v="0"/>
    <n v="17231"/>
    <n v="33723"/>
    <n v="7265"/>
    <n v="0"/>
    <n v="16716"/>
    <n v="23981"/>
    <n v="0.71111704178157342"/>
    <n v="0.44051661411593501"/>
    <x v="4"/>
  </r>
  <r>
    <x v="31"/>
    <s v="NHS England London"/>
    <x v="31"/>
    <n v="15095"/>
    <n v="0"/>
    <n v="16071"/>
    <n v="31166"/>
    <n v="7689"/>
    <n v="0"/>
    <n v="15816"/>
    <n v="23505"/>
    <n v="0.75418725534236031"/>
    <n v="0.50937396488903608"/>
    <x v="5"/>
  </r>
  <r>
    <x v="32"/>
    <s v="NHS England London"/>
    <x v="32"/>
    <n v="0"/>
    <n v="6569"/>
    <n v="0"/>
    <n v="6569"/>
    <n v="0"/>
    <n v="6085"/>
    <n v="0"/>
    <n v="6085"/>
    <n v="0.92632059674227429"/>
    <s v=""/>
    <x v="5"/>
  </r>
  <r>
    <x v="33"/>
    <s v="NHS England London"/>
    <x v="33"/>
    <n v="0"/>
    <n v="0"/>
    <n v="1626"/>
    <n v="1626"/>
    <n v="0"/>
    <n v="0"/>
    <n v="1598"/>
    <n v="1598"/>
    <n v="0.98277982779827799"/>
    <s v=""/>
    <x v="3"/>
  </r>
  <r>
    <x v="34"/>
    <s v="NHS England London"/>
    <x v="34"/>
    <n v="27627"/>
    <n v="625"/>
    <n v="16844"/>
    <n v="45096"/>
    <n v="19407"/>
    <n v="624"/>
    <n v="16090"/>
    <n v="36121"/>
    <n v="0.80098013127550116"/>
    <n v="0.70246497991095669"/>
    <x v="5"/>
  </r>
  <r>
    <x v="35"/>
    <s v="NHS England London"/>
    <x v="35"/>
    <n v="0"/>
    <n v="0"/>
    <n v="0"/>
    <n v="0"/>
    <n v="0"/>
    <n v="0"/>
    <n v="0"/>
    <n v="0"/>
    <s v="Missing Data"/>
    <s v=""/>
    <x v="5"/>
  </r>
  <r>
    <x v="36"/>
    <s v="NHS England London"/>
    <x v="36"/>
    <n v="10006"/>
    <n v="0"/>
    <n v="4101"/>
    <n v="14107"/>
    <n v="7127"/>
    <n v="0"/>
    <n v="3907"/>
    <n v="11034"/>
    <n v="0.78216488268235629"/>
    <n v="0.71227263641814909"/>
    <x v="6"/>
  </r>
  <r>
    <x v="37"/>
    <s v="NHS England London"/>
    <x v="37"/>
    <n v="5219"/>
    <n v="0"/>
    <n v="7405"/>
    <n v="12624"/>
    <n v="3001"/>
    <n v="0"/>
    <n v="7332"/>
    <n v="10333"/>
    <n v="0.81852027883396705"/>
    <n v="0.57501437056907456"/>
    <x v="5"/>
  </r>
  <r>
    <x v="38"/>
    <s v="NHS England London"/>
    <x v="38"/>
    <n v="14600"/>
    <n v="0"/>
    <n v="0"/>
    <n v="14600"/>
    <n v="10900"/>
    <n v="0"/>
    <n v="0"/>
    <n v="10900"/>
    <n v="0.74657534246575341"/>
    <n v="0.74657534246575341"/>
    <x v="5"/>
  </r>
  <r>
    <x v="39"/>
    <s v="NHS England London"/>
    <x v="39"/>
    <n v="9715"/>
    <n v="0"/>
    <n v="0"/>
    <n v="9715"/>
    <n v="7009"/>
    <n v="0"/>
    <n v="0"/>
    <n v="7009"/>
    <n v="0.72146165723108591"/>
    <n v="0.72146165723108591"/>
    <x v="5"/>
  </r>
  <r>
    <x v="40"/>
    <s v="NHS England Midlands "/>
    <x v="40"/>
    <n v="4840"/>
    <n v="0"/>
    <n v="897"/>
    <n v="5737"/>
    <n v="3592"/>
    <n v="0"/>
    <n v="897"/>
    <n v="4489"/>
    <n v="0.78246470280634473"/>
    <n v="0.74214876033057853"/>
    <x v="7"/>
  </r>
  <r>
    <x v="41"/>
    <s v="NHS England Midlands "/>
    <x v="41"/>
    <n v="6890"/>
    <n v="0"/>
    <n v="5220"/>
    <n v="12110"/>
    <n v="3540"/>
    <n v="0"/>
    <n v="5152"/>
    <n v="8692"/>
    <n v="0.71775392237819979"/>
    <n v="0.51378809869375908"/>
    <x v="8"/>
  </r>
  <r>
    <x v="42"/>
    <s v="NHS England Midlands "/>
    <x v="42"/>
    <n v="0"/>
    <n v="0"/>
    <n v="0"/>
    <n v="0"/>
    <n v="0"/>
    <n v="0"/>
    <n v="0"/>
    <n v="0"/>
    <s v="Missing Data"/>
    <s v=""/>
    <x v="9"/>
  </r>
  <r>
    <x v="43"/>
    <s v="NHS England Midlands "/>
    <x v="43"/>
    <n v="0"/>
    <n v="0"/>
    <n v="8152"/>
    <n v="8152"/>
    <n v="0"/>
    <n v="0"/>
    <n v="7666"/>
    <n v="7666"/>
    <n v="0.94038272816486757"/>
    <s v=""/>
    <x v="8"/>
  </r>
  <r>
    <x v="44"/>
    <s v="NHS England Midlands "/>
    <x v="44"/>
    <n v="0"/>
    <n v="0"/>
    <n v="1908"/>
    <n v="1908"/>
    <n v="0"/>
    <n v="0"/>
    <n v="1907"/>
    <n v="1907"/>
    <n v="0.99947589098532497"/>
    <s v=""/>
    <x v="8"/>
  </r>
  <r>
    <x v="45"/>
    <s v="NHS England Midlands "/>
    <x v="45"/>
    <n v="0"/>
    <n v="0"/>
    <n v="317"/>
    <n v="317"/>
    <n v="0"/>
    <n v="0"/>
    <n v="317"/>
    <n v="317"/>
    <n v="1"/>
    <s v=""/>
    <x v="10"/>
  </r>
  <r>
    <x v="46"/>
    <s v="NHS England Midlands "/>
    <x v="46"/>
    <n v="7779"/>
    <n v="0"/>
    <n v="1653"/>
    <n v="9432"/>
    <n v="6527"/>
    <n v="0"/>
    <n v="1653"/>
    <n v="8180"/>
    <n v="0.86726039016115353"/>
    <n v="0.83905386296439133"/>
    <x v="9"/>
  </r>
  <r>
    <x v="47"/>
    <s v="NHS England Midlands "/>
    <x v="47"/>
    <n v="11028"/>
    <n v="0"/>
    <n v="8976"/>
    <n v="20004"/>
    <n v="6689"/>
    <n v="0"/>
    <n v="8955"/>
    <n v="15644"/>
    <n v="0.78204359128174361"/>
    <n v="0.6065469713456656"/>
    <x v="11"/>
  </r>
  <r>
    <x v="48"/>
    <s v="NHS England Midlands "/>
    <x v="48"/>
    <n v="0"/>
    <n v="0"/>
    <n v="384"/>
    <n v="384"/>
    <n v="0"/>
    <n v="0"/>
    <n v="384"/>
    <n v="384"/>
    <n v="1"/>
    <s v=""/>
    <x v="10"/>
  </r>
  <r>
    <x v="49"/>
    <s v="NHS England Midlands "/>
    <x v="49"/>
    <n v="0"/>
    <n v="0"/>
    <n v="9745"/>
    <n v="9745"/>
    <n v="0"/>
    <n v="0"/>
    <n v="9507"/>
    <n v="9507"/>
    <n v="0.97557721908671113"/>
    <s v=""/>
    <x v="12"/>
  </r>
  <r>
    <x v="50"/>
    <s v="NHS England Midlands "/>
    <x v="50"/>
    <n v="0"/>
    <n v="0"/>
    <n v="2676"/>
    <n v="2676"/>
    <n v="0"/>
    <n v="0"/>
    <n v="2676"/>
    <n v="2676"/>
    <n v="1"/>
    <s v=""/>
    <x v="10"/>
  </r>
  <r>
    <x v="51"/>
    <s v="NHS England Midlands "/>
    <x v="51"/>
    <n v="0"/>
    <n v="0"/>
    <n v="7847"/>
    <n v="7847"/>
    <n v="0"/>
    <n v="0"/>
    <n v="7795"/>
    <n v="7795"/>
    <n v="0.99337326366764367"/>
    <s v=""/>
    <x v="10"/>
  </r>
  <r>
    <x v="52"/>
    <s v="NHS England Midlands "/>
    <x v="52"/>
    <n v="0"/>
    <n v="0"/>
    <n v="139"/>
    <n v="139"/>
    <n v="0"/>
    <n v="0"/>
    <n v="139"/>
    <n v="139"/>
    <n v="1"/>
    <s v=""/>
    <x v="10"/>
  </r>
  <r>
    <x v="53"/>
    <s v="NHS England Midlands "/>
    <x v="53"/>
    <n v="0"/>
    <n v="0"/>
    <n v="298"/>
    <n v="298"/>
    <n v="0"/>
    <n v="0"/>
    <n v="298"/>
    <n v="298"/>
    <n v="1"/>
    <s v=""/>
    <x v="10"/>
  </r>
  <r>
    <x v="54"/>
    <s v="NHS England Midlands "/>
    <x v="54"/>
    <n v="0"/>
    <n v="0"/>
    <n v="323"/>
    <n v="323"/>
    <n v="0"/>
    <n v="0"/>
    <n v="323"/>
    <n v="323"/>
    <n v="1"/>
    <s v=""/>
    <x v="10"/>
  </r>
  <r>
    <x v="55"/>
    <s v="NHS England Midlands "/>
    <x v="55"/>
    <n v="0"/>
    <n v="0"/>
    <n v="408"/>
    <n v="408"/>
    <n v="0"/>
    <n v="0"/>
    <n v="408"/>
    <n v="408"/>
    <n v="1"/>
    <s v=""/>
    <x v="10"/>
  </r>
  <r>
    <x v="56"/>
    <s v="NHS England Midlands "/>
    <x v="56"/>
    <n v="9611"/>
    <n v="654"/>
    <n v="3988"/>
    <n v="14253"/>
    <n v="5348"/>
    <n v="629"/>
    <n v="3908"/>
    <n v="9885"/>
    <n v="0.69353820248368769"/>
    <n v="0.55644573925710128"/>
    <x v="11"/>
  </r>
  <r>
    <x v="57"/>
    <s v="NHS England Midlands "/>
    <x v="57"/>
    <n v="13656"/>
    <n v="2016"/>
    <n v="12127"/>
    <n v="27799"/>
    <n v="6086"/>
    <n v="1933"/>
    <n v="10392"/>
    <n v="18411"/>
    <n v="0.66229001043202995"/>
    <n v="0.44566490919742235"/>
    <x v="13"/>
  </r>
  <r>
    <x v="58"/>
    <s v="NHS England Midlands "/>
    <x v="58"/>
    <n v="0"/>
    <n v="0"/>
    <n v="3835"/>
    <n v="3835"/>
    <n v="0"/>
    <n v="0"/>
    <n v="3834"/>
    <n v="3834"/>
    <n v="0.99973924380704038"/>
    <s v=""/>
    <x v="10"/>
  </r>
  <r>
    <x v="59"/>
    <s v="NHS England Midlands "/>
    <x v="59"/>
    <n v="0"/>
    <n v="0"/>
    <n v="623"/>
    <n v="623"/>
    <n v="0"/>
    <n v="0"/>
    <n v="623"/>
    <n v="623"/>
    <n v="1"/>
    <s v=""/>
    <x v="10"/>
  </r>
  <r>
    <x v="60"/>
    <s v="NHS England Midlands "/>
    <x v="60"/>
    <n v="12136"/>
    <n v="1281"/>
    <n v="8369"/>
    <n v="21786"/>
    <n v="6916"/>
    <n v="1024"/>
    <n v="8284"/>
    <n v="16224"/>
    <n v="0.7446984301845222"/>
    <n v="0.56987475280158206"/>
    <x v="14"/>
  </r>
  <r>
    <x v="61"/>
    <s v="NHS England Midlands "/>
    <x v="61"/>
    <n v="11265"/>
    <n v="0"/>
    <n v="5917"/>
    <n v="17182"/>
    <n v="7732"/>
    <n v="0"/>
    <n v="5047"/>
    <n v="12779"/>
    <n v="0.74374345245023865"/>
    <n v="0.68637372392365736"/>
    <x v="13"/>
  </r>
  <r>
    <x v="62"/>
    <s v="NHS England Midlands "/>
    <x v="62"/>
    <n v="0"/>
    <n v="0"/>
    <n v="3616"/>
    <n v="3616"/>
    <n v="0"/>
    <n v="0"/>
    <n v="3601"/>
    <n v="3601"/>
    <n v="0.99585176991150437"/>
    <s v=""/>
    <x v="15"/>
  </r>
  <r>
    <x v="63"/>
    <s v="NHS England Midlands "/>
    <x v="63"/>
    <n v="0"/>
    <n v="0"/>
    <n v="462"/>
    <n v="462"/>
    <n v="0"/>
    <n v="0"/>
    <n v="462"/>
    <n v="462"/>
    <n v="1"/>
    <s v=""/>
    <x v="12"/>
  </r>
  <r>
    <x v="64"/>
    <s v="NHS England Midlands "/>
    <x v="64"/>
    <n v="8510"/>
    <n v="0"/>
    <n v="543"/>
    <n v="9053"/>
    <n v="5738"/>
    <n v="0"/>
    <n v="543"/>
    <n v="6281"/>
    <n v="0.69380315917375457"/>
    <n v="0.67426556991774378"/>
    <x v="9"/>
  </r>
  <r>
    <x v="65"/>
    <s v="NHS England Midlands "/>
    <x v="65"/>
    <n v="10834"/>
    <n v="0"/>
    <n v="4331"/>
    <n v="15165"/>
    <n v="7938"/>
    <n v="0"/>
    <n v="4239"/>
    <n v="12177"/>
    <n v="0.80296735905044514"/>
    <n v="0.73269337271552515"/>
    <x v="14"/>
  </r>
  <r>
    <x v="66"/>
    <s v="NHS England Midlands "/>
    <x v="66"/>
    <n v="0"/>
    <n v="0"/>
    <n v="0"/>
    <n v="0"/>
    <n v="0"/>
    <n v="0"/>
    <n v="0"/>
    <n v="0"/>
    <s v="Missing Data"/>
    <s v=""/>
    <x v="15"/>
  </r>
  <r>
    <x v="67"/>
    <s v="NHS England Midlands "/>
    <x v="67"/>
    <n v="11706"/>
    <n v="1633"/>
    <n v="7582"/>
    <n v="20921"/>
    <n v="7762"/>
    <n v="1588"/>
    <n v="7384"/>
    <n v="16734"/>
    <n v="0.79986616318531623"/>
    <n v="0.66307876302750723"/>
    <x v="14"/>
  </r>
  <r>
    <x v="68"/>
    <s v="NHS England Midlands "/>
    <x v="68"/>
    <n v="11747"/>
    <n v="0"/>
    <n v="2588"/>
    <n v="14335"/>
    <n v="5069"/>
    <n v="0"/>
    <n v="2242"/>
    <n v="7311"/>
    <n v="0.51001046389954652"/>
    <n v="0.43151442921597005"/>
    <x v="15"/>
  </r>
  <r>
    <x v="69"/>
    <s v="NHS England Midlands "/>
    <x v="69"/>
    <n v="17584"/>
    <n v="0"/>
    <n v="4440"/>
    <n v="22024"/>
    <n v="11191"/>
    <n v="0"/>
    <n v="3955"/>
    <n v="15146"/>
    <n v="0.68770432255721037"/>
    <n v="0.63643084622383983"/>
    <x v="12"/>
  </r>
  <r>
    <x v="70"/>
    <s v="NHS England Midlands "/>
    <x v="70"/>
    <n v="34437"/>
    <n v="407"/>
    <n v="12659"/>
    <n v="47503"/>
    <n v="19748"/>
    <n v="407"/>
    <n v="12600"/>
    <n v="32755"/>
    <n v="0.68953539776435169"/>
    <n v="0.57345297209396873"/>
    <x v="7"/>
  </r>
  <r>
    <x v="71"/>
    <s v="NHS England Midlands "/>
    <x v="71"/>
    <n v="13154"/>
    <n v="2778"/>
    <n v="5874"/>
    <n v="21806"/>
    <n v="7987"/>
    <n v="2691"/>
    <n v="5751"/>
    <n v="16429"/>
    <n v="0.75341649087407137"/>
    <n v="0.60719172875171046"/>
    <x v="9"/>
  </r>
  <r>
    <x v="72"/>
    <s v="NHS England Midlands "/>
    <x v="72"/>
    <n v="22823"/>
    <n v="0"/>
    <n v="9614"/>
    <n v="32437"/>
    <n v="12301"/>
    <n v="0"/>
    <n v="9603"/>
    <n v="21904"/>
    <n v="0.67527823164904277"/>
    <n v="0.53897384217675148"/>
    <x v="8"/>
  </r>
  <r>
    <x v="73"/>
    <s v="NHS England Midlands "/>
    <x v="73"/>
    <n v="24152"/>
    <n v="2198"/>
    <n v="0"/>
    <n v="26350"/>
    <n v="14347"/>
    <n v="2012"/>
    <n v="0"/>
    <n v="16359"/>
    <n v="0.62083491461100571"/>
    <n v="0.59402947996025179"/>
    <x v="10"/>
  </r>
  <r>
    <x v="74"/>
    <s v="NHS England Midlands "/>
    <x v="74"/>
    <n v="15769"/>
    <n v="540"/>
    <n v="9723"/>
    <n v="26032"/>
    <n v="7131"/>
    <n v="540"/>
    <n v="9520"/>
    <n v="17191"/>
    <n v="0.66037953288260598"/>
    <n v="0.45221637389815461"/>
    <x v="16"/>
  </r>
  <r>
    <x v="75"/>
    <s v="NHS England Midlands "/>
    <x v="75"/>
    <n v="10508"/>
    <n v="0"/>
    <n v="4324"/>
    <n v="14832"/>
    <n v="7019"/>
    <n v="0"/>
    <n v="4149"/>
    <n v="11168"/>
    <n v="0.75296655879180152"/>
    <n v="0.66796726303768561"/>
    <x v="14"/>
  </r>
  <r>
    <x v="76"/>
    <s v="NHS England Midlands "/>
    <x v="76"/>
    <n v="14684"/>
    <n v="0"/>
    <n v="6398"/>
    <n v="21082"/>
    <n v="7755"/>
    <n v="0"/>
    <n v="6264"/>
    <n v="14019"/>
    <n v="0.66497486007020212"/>
    <n v="0.52812585126668488"/>
    <x v="17"/>
  </r>
  <r>
    <x v="77"/>
    <s v="NHS England Midlands "/>
    <x v="77"/>
    <n v="6436"/>
    <n v="976"/>
    <n v="148"/>
    <n v="7560"/>
    <n v="3811"/>
    <n v="976"/>
    <n v="148"/>
    <n v="4935"/>
    <n v="0.65277777777777779"/>
    <n v="0.59213797389683032"/>
    <x v="17"/>
  </r>
  <r>
    <x v="78"/>
    <s v="NHS England North East And Yorkshire "/>
    <x v="78"/>
    <n v="6549"/>
    <n v="278"/>
    <n v="0"/>
    <n v="6827"/>
    <n v="3945"/>
    <n v="278"/>
    <n v="0"/>
    <n v="4223"/>
    <n v="0.6185733118500073"/>
    <n v="0.6023820430600092"/>
    <x v="18"/>
  </r>
  <r>
    <x v="79"/>
    <s v="NHS England North East And Yorkshire "/>
    <x v="79"/>
    <n v="10098"/>
    <n v="0"/>
    <n v="0"/>
    <n v="10098"/>
    <n v="7197"/>
    <n v="0"/>
    <n v="0"/>
    <n v="7197"/>
    <n v="0.71271538918597743"/>
    <n v="0.71271538918597743"/>
    <x v="19"/>
  </r>
  <r>
    <x v="80"/>
    <s v="NHS England North East And Yorkshire "/>
    <x v="80"/>
    <n v="9332"/>
    <n v="861"/>
    <n v="3753"/>
    <n v="13946"/>
    <n v="6849"/>
    <n v="861"/>
    <n v="3745"/>
    <n v="11455"/>
    <n v="0.82138247526172381"/>
    <n v="0.73392627518216891"/>
    <x v="18"/>
  </r>
  <r>
    <x v="81"/>
    <s v="NHS England North East And Yorkshire "/>
    <x v="81"/>
    <n v="0"/>
    <n v="0"/>
    <n v="3624"/>
    <n v="3624"/>
    <n v="0"/>
    <n v="0"/>
    <n v="3142"/>
    <n v="3142"/>
    <n v="0.86699779249448128"/>
    <s v=""/>
    <x v="20"/>
  </r>
  <r>
    <x v="82"/>
    <s v="NHS England North East And Yorkshire "/>
    <x v="82"/>
    <n v="0"/>
    <n v="0"/>
    <n v="1478"/>
    <n v="1478"/>
    <n v="0"/>
    <n v="0"/>
    <n v="1396"/>
    <n v="1396"/>
    <n v="0.94451962110960763"/>
    <s v=""/>
    <x v="20"/>
  </r>
  <r>
    <x v="83"/>
    <s v="NHS England North East And Yorkshire "/>
    <x v="83"/>
    <n v="16465"/>
    <n v="0"/>
    <n v="0"/>
    <n v="16465"/>
    <n v="14048"/>
    <n v="0"/>
    <n v="0"/>
    <n v="14048"/>
    <n v="0.85320376556331612"/>
    <n v="0.85320376556331612"/>
    <x v="18"/>
  </r>
  <r>
    <x v="84"/>
    <s v="NHS England North East And Yorkshire "/>
    <x v="84"/>
    <n v="12901"/>
    <n v="0"/>
    <n v="10457"/>
    <n v="23358"/>
    <n v="7588"/>
    <n v="0"/>
    <n v="10457"/>
    <n v="18045"/>
    <n v="0.77254045723092735"/>
    <n v="0.58817145957677697"/>
    <x v="21"/>
  </r>
  <r>
    <x v="85"/>
    <s v="NHS England North East And Yorkshire "/>
    <x v="85"/>
    <n v="14439"/>
    <n v="0"/>
    <n v="4120"/>
    <n v="18559"/>
    <n v="9492"/>
    <n v="0"/>
    <n v="4111"/>
    <n v="13603"/>
    <n v="0.73295974998652946"/>
    <n v="0.65738624558487435"/>
    <x v="19"/>
  </r>
  <r>
    <x v="86"/>
    <s v="NHS England North East And Yorkshire "/>
    <x v="86"/>
    <n v="0"/>
    <n v="0"/>
    <n v="2956"/>
    <n v="2956"/>
    <n v="0"/>
    <n v="0"/>
    <n v="2760"/>
    <n v="2760"/>
    <n v="0.93369418132611637"/>
    <s v=""/>
    <x v="20"/>
  </r>
  <r>
    <x v="87"/>
    <s v="NHS England North East And Yorkshire "/>
    <x v="87"/>
    <n v="5605"/>
    <n v="0"/>
    <n v="4691"/>
    <n v="10296"/>
    <n v="3303"/>
    <n v="0"/>
    <n v="4649"/>
    <n v="7952"/>
    <n v="0.77233877233877235"/>
    <n v="0.5892952720785013"/>
    <x v="21"/>
  </r>
  <r>
    <x v="88"/>
    <s v="NHS England North East And Yorkshire "/>
    <x v="88"/>
    <n v="0"/>
    <n v="0"/>
    <n v="1652"/>
    <n v="1652"/>
    <n v="0"/>
    <n v="0"/>
    <n v="1610"/>
    <n v="1610"/>
    <n v="0.97457627118644063"/>
    <s v=""/>
    <x v="20"/>
  </r>
  <r>
    <x v="89"/>
    <s v="NHS England North East And Yorkshire "/>
    <x v="89"/>
    <n v="5599"/>
    <n v="0"/>
    <n v="1520"/>
    <n v="7119"/>
    <n v="3626"/>
    <n v="0"/>
    <n v="1508"/>
    <n v="5134"/>
    <n v="0.72116870346958839"/>
    <n v="0.64761564565100915"/>
    <x v="20"/>
  </r>
  <r>
    <x v="90"/>
    <s v="NHS England North East And Yorkshire "/>
    <x v="90"/>
    <n v="10218"/>
    <n v="0"/>
    <n v="4005"/>
    <n v="14223"/>
    <n v="4333"/>
    <n v="0"/>
    <n v="3425"/>
    <n v="7758"/>
    <n v="0.54545454545454541"/>
    <n v="0.4240555881777256"/>
    <x v="20"/>
  </r>
  <r>
    <x v="91"/>
    <s v="NHS England North East And Yorkshire "/>
    <x v="91"/>
    <n v="0"/>
    <n v="0"/>
    <n v="1132"/>
    <n v="1132"/>
    <n v="0"/>
    <n v="0"/>
    <n v="1122"/>
    <n v="1122"/>
    <n v="0.99116607773851595"/>
    <s v=""/>
    <x v="20"/>
  </r>
  <r>
    <x v="92"/>
    <s v="NHS England North East And Yorkshire "/>
    <x v="92"/>
    <n v="19869"/>
    <n v="729"/>
    <n v="10824"/>
    <n v="31422"/>
    <n v="12276"/>
    <n v="729"/>
    <n v="10779"/>
    <n v="23784"/>
    <n v="0.75692190185220543"/>
    <n v="0.61784689717650609"/>
    <x v="18"/>
  </r>
  <r>
    <x v="93"/>
    <s v="NHS England North East And Yorkshire "/>
    <x v="93"/>
    <n v="0"/>
    <n v="0"/>
    <n v="2517"/>
    <n v="2517"/>
    <n v="0"/>
    <n v="0"/>
    <n v="2508"/>
    <n v="2508"/>
    <n v="0.9964243146603099"/>
    <s v=""/>
    <x v="18"/>
  </r>
  <r>
    <x v="94"/>
    <s v="NHS England North East And Yorkshire "/>
    <x v="94"/>
    <n v="17233"/>
    <n v="139"/>
    <n v="6757"/>
    <n v="24129"/>
    <n v="10193"/>
    <n v="139"/>
    <n v="6579"/>
    <n v="16911"/>
    <n v="0.70085788884744493"/>
    <n v="0.59148145998955493"/>
    <x v="18"/>
  </r>
  <r>
    <x v="95"/>
    <s v="NHS England North East And Yorkshire "/>
    <x v="95"/>
    <n v="9184"/>
    <n v="0"/>
    <n v="3015"/>
    <n v="12199"/>
    <n v="4747"/>
    <n v="0"/>
    <n v="2866"/>
    <n v="7613"/>
    <n v="0.62406754652020657"/>
    <n v="0.51687717770034847"/>
    <x v="21"/>
  </r>
  <r>
    <x v="96"/>
    <s v="NHS England North East And Yorkshire "/>
    <x v="96"/>
    <n v="5103"/>
    <n v="0"/>
    <n v="11239"/>
    <n v="16342"/>
    <n v="2048"/>
    <n v="0"/>
    <n v="11191"/>
    <n v="13239"/>
    <n v="0.81012116020070979"/>
    <n v="0.40133254948069763"/>
    <x v="21"/>
  </r>
  <r>
    <x v="97"/>
    <s v="NHS England North East And Yorkshire "/>
    <x v="97"/>
    <n v="10716"/>
    <n v="0"/>
    <n v="6714"/>
    <n v="17430"/>
    <n v="5443"/>
    <n v="0"/>
    <n v="6634"/>
    <n v="12077"/>
    <n v="0.6928858290304073"/>
    <n v="0.50793206420306081"/>
    <x v="20"/>
  </r>
  <r>
    <x v="98"/>
    <s v="NHS England North East And Yorkshire "/>
    <x v="98"/>
    <n v="10939"/>
    <n v="0"/>
    <n v="14435"/>
    <n v="25374"/>
    <n v="8595"/>
    <n v="0"/>
    <n v="14435"/>
    <n v="23030"/>
    <n v="0.90762197525025612"/>
    <n v="0.78572081543102656"/>
    <x v="21"/>
  </r>
  <r>
    <x v="99"/>
    <s v="NHS England North East And Yorkshire "/>
    <x v="99"/>
    <n v="4643"/>
    <n v="0"/>
    <n v="364"/>
    <n v="5007"/>
    <n v="4160"/>
    <n v="0"/>
    <n v="361"/>
    <n v="4521"/>
    <n v="0.90293588975434391"/>
    <n v="0.89597243161748874"/>
    <x v="19"/>
  </r>
  <r>
    <x v="100"/>
    <s v="NHS England North East And Yorkshire "/>
    <x v="100"/>
    <n v="9334"/>
    <n v="1395"/>
    <n v="8121"/>
    <n v="18850"/>
    <n v="4463"/>
    <n v="1329"/>
    <n v="7757"/>
    <n v="13549"/>
    <n v="0.71877984084880642"/>
    <n v="0.47814441825583887"/>
    <x v="19"/>
  </r>
  <r>
    <x v="101"/>
    <s v="NHS England North East And Yorkshire "/>
    <x v="101"/>
    <n v="7575"/>
    <n v="0"/>
    <n v="11372"/>
    <n v="18947"/>
    <n v="3623"/>
    <n v="0"/>
    <n v="11011"/>
    <n v="14634"/>
    <n v="0.77236501820868741"/>
    <n v="0.47828382838283828"/>
    <x v="21"/>
  </r>
  <r>
    <x v="102"/>
    <s v="NHS England North East And Yorkshire "/>
    <x v="102"/>
    <n v="12593"/>
    <n v="1465"/>
    <n v="7491"/>
    <n v="21549"/>
    <n v="7475"/>
    <n v="1424"/>
    <n v="7201"/>
    <n v="16100"/>
    <n v="0.74713443779293698"/>
    <n v="0.59358373699674427"/>
    <x v="21"/>
  </r>
  <r>
    <x v="103"/>
    <s v="NHS England North East And Yorkshire "/>
    <x v="103"/>
    <n v="0"/>
    <n v="0"/>
    <n v="0"/>
    <n v="0"/>
    <n v="0"/>
    <n v="0"/>
    <n v="0"/>
    <n v="0"/>
    <s v="Missing Data"/>
    <s v=""/>
    <x v="18"/>
  </r>
  <r>
    <x v="104"/>
    <s v="NHS England North East And Yorkshire "/>
    <x v="104"/>
    <n v="12694"/>
    <n v="1862"/>
    <n v="10291"/>
    <n v="24847"/>
    <n v="7125"/>
    <n v="1759"/>
    <n v="10052"/>
    <n v="18936"/>
    <n v="0.76210407695093974"/>
    <n v="0.56128879785725538"/>
    <x v="21"/>
  </r>
  <r>
    <x v="105"/>
    <s v="NHS England North East And Yorkshire "/>
    <x v="105"/>
    <n v="10045"/>
    <n v="0"/>
    <n v="0"/>
    <n v="10045"/>
    <n v="6949"/>
    <n v="0"/>
    <n v="0"/>
    <n v="6949"/>
    <n v="0.69178695868591344"/>
    <n v="0.69178695868591344"/>
    <x v="19"/>
  </r>
  <r>
    <x v="106"/>
    <s v="NHS England North East And Yorkshire "/>
    <x v="106"/>
    <n v="0"/>
    <n v="0"/>
    <n v="492"/>
    <n v="492"/>
    <n v="0"/>
    <n v="0"/>
    <n v="492"/>
    <n v="492"/>
    <n v="1"/>
    <s v=""/>
    <x v="21"/>
  </r>
  <r>
    <x v="107"/>
    <s v="NHS England North East And Yorkshire "/>
    <x v="107"/>
    <n v="12536"/>
    <n v="34"/>
    <n v="5759"/>
    <n v="18329"/>
    <n v="6049"/>
    <n v="34"/>
    <n v="5245"/>
    <n v="11328"/>
    <n v="0.61803699056140537"/>
    <n v="0.48253031269942565"/>
    <x v="20"/>
  </r>
  <r>
    <x v="108"/>
    <s v="NHS England North West "/>
    <x v="108"/>
    <n v="6240"/>
    <n v="0"/>
    <n v="0"/>
    <n v="6240"/>
    <n v="5359"/>
    <n v="0"/>
    <n v="0"/>
    <n v="5359"/>
    <n v="0.85881410256410251"/>
    <n v="0.85881410256410251"/>
    <x v="22"/>
  </r>
  <r>
    <x v="109"/>
    <s v="NHS England North West "/>
    <x v="109"/>
    <n v="9133"/>
    <n v="0"/>
    <n v="10139"/>
    <n v="19272"/>
    <n v="4619"/>
    <n v="0"/>
    <n v="10023"/>
    <n v="14642"/>
    <n v="0.75975508509755085"/>
    <n v="0.50574838497755392"/>
    <x v="23"/>
  </r>
  <r>
    <x v="110"/>
    <s v="NHS England North West "/>
    <x v="110"/>
    <n v="8873"/>
    <n v="0"/>
    <n v="3726"/>
    <n v="12599"/>
    <n v="4554"/>
    <n v="0"/>
    <n v="3426"/>
    <n v="7980"/>
    <n v="0.63338360187316456"/>
    <n v="0.51324242082722871"/>
    <x v="24"/>
  </r>
  <r>
    <x v="111"/>
    <s v="NHS England North West "/>
    <x v="111"/>
    <n v="5968"/>
    <n v="0"/>
    <n v="2708"/>
    <n v="8676"/>
    <n v="3004"/>
    <n v="0"/>
    <n v="2362"/>
    <n v="5366"/>
    <n v="0.61848778238819735"/>
    <n v="0.5033512064343163"/>
    <x v="22"/>
  </r>
  <r>
    <x v="112"/>
    <s v="NHS England North West "/>
    <x v="112"/>
    <n v="4753"/>
    <n v="0"/>
    <n v="58"/>
    <n v="4811"/>
    <n v="2340"/>
    <n v="0"/>
    <n v="58"/>
    <n v="2398"/>
    <n v="0.49844107254209102"/>
    <n v="0.49232063959604461"/>
    <x v="22"/>
  </r>
  <r>
    <x v="113"/>
    <s v="NHS England North West "/>
    <x v="113"/>
    <n v="13927"/>
    <n v="0"/>
    <n v="11315"/>
    <n v="25242"/>
    <n v="8708"/>
    <n v="0"/>
    <n v="10380"/>
    <n v="19088"/>
    <n v="0.75619998415339518"/>
    <n v="0.62526028577583115"/>
    <x v="23"/>
  </r>
  <r>
    <x v="114"/>
    <s v="NHS England North West "/>
    <x v="114"/>
    <n v="13030"/>
    <n v="0"/>
    <n v="3385"/>
    <n v="16415"/>
    <n v="8827"/>
    <n v="0"/>
    <n v="3148"/>
    <n v="11975"/>
    <n v="0.7295156868717636"/>
    <n v="0.67743668457405981"/>
    <x v="23"/>
  </r>
  <r>
    <x v="115"/>
    <s v="NHS England North West "/>
    <x v="115"/>
    <n v="0"/>
    <n v="0"/>
    <n v="0"/>
    <n v="0"/>
    <n v="0"/>
    <n v="0"/>
    <n v="0"/>
    <n v="0"/>
    <s v="Missing Data"/>
    <s v=""/>
    <x v="22"/>
  </r>
  <r>
    <x v="116"/>
    <s v="NHS England North West "/>
    <x v="116"/>
    <n v="17475"/>
    <n v="1989"/>
    <n v="8689"/>
    <n v="28153"/>
    <n v="8384"/>
    <n v="1974"/>
    <n v="8407"/>
    <n v="18765"/>
    <n v="0.66653642595815721"/>
    <n v="0.47977110157367669"/>
    <x v="22"/>
  </r>
  <r>
    <x v="117"/>
    <s v="NHS England North West "/>
    <x v="117"/>
    <n v="0"/>
    <n v="1654"/>
    <n v="0"/>
    <n v="1654"/>
    <n v="0"/>
    <n v="1466"/>
    <n v="0"/>
    <n v="1466"/>
    <n v="0.8863361547762999"/>
    <s v=""/>
    <x v="22"/>
  </r>
  <r>
    <x v="118"/>
    <s v="NHS England North West "/>
    <x v="118"/>
    <n v="31246"/>
    <n v="3914"/>
    <n v="12346"/>
    <n v="47506"/>
    <n v="18513"/>
    <n v="3566"/>
    <n v="11967"/>
    <n v="34046"/>
    <n v="0.71666736833242117"/>
    <n v="0.59249183895538626"/>
    <x v="24"/>
  </r>
  <r>
    <x v="119"/>
    <s v="NHS England North West "/>
    <x v="119"/>
    <n v="18040"/>
    <n v="0"/>
    <n v="7335"/>
    <n v="25375"/>
    <n v="11330"/>
    <n v="0"/>
    <n v="7277"/>
    <n v="18607"/>
    <n v="0.73328078817733988"/>
    <n v="0.62804878048780488"/>
    <x v="22"/>
  </r>
  <r>
    <x v="120"/>
    <s v="NHS England North West "/>
    <x v="120"/>
    <n v="0"/>
    <n v="0"/>
    <n v="14415"/>
    <n v="14415"/>
    <n v="0"/>
    <n v="0"/>
    <n v="14122"/>
    <n v="14122"/>
    <n v="0.97967395074575092"/>
    <s v=""/>
    <x v="22"/>
  </r>
  <r>
    <x v="121"/>
    <s v="NHS England North West "/>
    <x v="121"/>
    <n v="7353"/>
    <n v="0"/>
    <n v="3319"/>
    <n v="10672"/>
    <n v="3657"/>
    <n v="0"/>
    <n v="3297"/>
    <n v="6954"/>
    <n v="0.65161169415292353"/>
    <n v="0.49734802121583027"/>
    <x v="22"/>
  </r>
  <r>
    <x v="122"/>
    <s v="NHS England North West "/>
    <x v="122"/>
    <n v="0"/>
    <n v="0"/>
    <n v="1662"/>
    <n v="1662"/>
    <n v="0"/>
    <n v="0"/>
    <n v="1662"/>
    <n v="1662"/>
    <n v="1"/>
    <s v=""/>
    <x v="22"/>
  </r>
  <r>
    <x v="123"/>
    <s v="NHS England North West "/>
    <x v="123"/>
    <n v="7511"/>
    <n v="0"/>
    <n v="6530"/>
    <n v="14041"/>
    <n v="4125"/>
    <n v="0"/>
    <n v="6429"/>
    <n v="10554"/>
    <n v="0.75165586496688275"/>
    <n v="0.54919451471175607"/>
    <x v="22"/>
  </r>
  <r>
    <x v="124"/>
    <s v="NHS England North West "/>
    <x v="124"/>
    <n v="27197"/>
    <n v="0"/>
    <n v="9021"/>
    <n v="36218"/>
    <n v="16734"/>
    <n v="0"/>
    <n v="8630"/>
    <n v="25364"/>
    <n v="0.70031476061626818"/>
    <n v="0.61528845093208806"/>
    <x v="24"/>
  </r>
  <r>
    <x v="125"/>
    <s v="NHS England North West "/>
    <x v="125"/>
    <n v="0"/>
    <n v="0"/>
    <n v="1040"/>
    <n v="1040"/>
    <n v="0"/>
    <n v="0"/>
    <n v="1036"/>
    <n v="1036"/>
    <n v="0.99615384615384617"/>
    <s v=""/>
    <x v="23"/>
  </r>
  <r>
    <x v="126"/>
    <s v="NHS England North West "/>
    <x v="126"/>
    <n v="0"/>
    <n v="0"/>
    <n v="1633"/>
    <n v="1633"/>
    <n v="0"/>
    <n v="0"/>
    <n v="1620"/>
    <n v="1620"/>
    <n v="0.99203919167176979"/>
    <s v=""/>
    <x v="23"/>
  </r>
  <r>
    <x v="127"/>
    <s v="NHS England North West "/>
    <x v="127"/>
    <n v="8875"/>
    <n v="0"/>
    <n v="2414"/>
    <n v="11289"/>
    <n v="5574"/>
    <n v="0"/>
    <n v="2353"/>
    <n v="7927"/>
    <n v="0.70218797059084059"/>
    <n v="0.62805633802816896"/>
    <x v="24"/>
  </r>
  <r>
    <x v="128"/>
    <s v="NHS England North West "/>
    <x v="128"/>
    <n v="9548"/>
    <n v="0"/>
    <n v="2419"/>
    <n v="11967"/>
    <n v="4801"/>
    <n v="0"/>
    <n v="2380"/>
    <n v="7181"/>
    <n v="0.60006685050555697"/>
    <n v="0.50282781734394633"/>
    <x v="24"/>
  </r>
  <r>
    <x v="129"/>
    <s v="NHS England North West "/>
    <x v="129"/>
    <n v="0"/>
    <n v="0"/>
    <n v="0"/>
    <n v="0"/>
    <n v="0"/>
    <n v="0"/>
    <n v="0"/>
    <n v="0"/>
    <s v="Missing Data"/>
    <s v=""/>
    <x v="24"/>
  </r>
  <r>
    <x v="130"/>
    <s v="NHS England North West "/>
    <x v="130"/>
    <n v="0"/>
    <n v="0"/>
    <n v="0"/>
    <n v="0"/>
    <n v="0"/>
    <n v="0"/>
    <n v="0"/>
    <n v="0"/>
    <s v="Missing Data"/>
    <s v=""/>
    <x v="22"/>
  </r>
  <r>
    <x v="131"/>
    <s v="NHS England North West "/>
    <x v="131"/>
    <n v="9076"/>
    <n v="0"/>
    <n v="4957"/>
    <n v="14033"/>
    <n v="5468"/>
    <n v="0"/>
    <n v="4841"/>
    <n v="10309"/>
    <n v="0.73462552554692506"/>
    <n v="0.60246804759806083"/>
    <x v="23"/>
  </r>
  <r>
    <x v="132"/>
    <s v="NHS England North West "/>
    <x v="132"/>
    <n v="0"/>
    <n v="0"/>
    <n v="3605"/>
    <n v="3605"/>
    <n v="0"/>
    <n v="0"/>
    <n v="3240"/>
    <n v="3240"/>
    <n v="0.89875173370319006"/>
    <s v=""/>
    <x v="22"/>
  </r>
  <r>
    <x v="133"/>
    <s v="NHS England North West "/>
    <x v="133"/>
    <n v="8046"/>
    <n v="0"/>
    <n v="2623"/>
    <n v="10669"/>
    <n v="3494"/>
    <n v="0"/>
    <n v="2207"/>
    <n v="5701"/>
    <n v="0.53435186053050898"/>
    <n v="0.43425304499130002"/>
    <x v="22"/>
  </r>
  <r>
    <x v="134"/>
    <s v="NHS England North West "/>
    <x v="134"/>
    <n v="7034"/>
    <n v="0"/>
    <n v="6080"/>
    <n v="13114"/>
    <n v="3056"/>
    <n v="0"/>
    <n v="5996"/>
    <n v="9052"/>
    <n v="0.69025468964465453"/>
    <n v="0.43446118851293714"/>
    <x v="24"/>
  </r>
  <r>
    <x v="135"/>
    <s v="NHS England South East "/>
    <x v="135"/>
    <n v="8078"/>
    <n v="0"/>
    <n v="2683"/>
    <n v="10761"/>
    <n v="4690"/>
    <n v="0"/>
    <n v="2526"/>
    <n v="7216"/>
    <n v="0.67056964966081223"/>
    <n v="0.58058925476603118"/>
    <x v="25"/>
  </r>
  <r>
    <x v="136"/>
    <s v="NHS England South East "/>
    <x v="136"/>
    <n v="0"/>
    <n v="0"/>
    <n v="2584"/>
    <n v="2584"/>
    <n v="0"/>
    <n v="0"/>
    <n v="2311"/>
    <n v="2311"/>
    <n v="0.89434984520123839"/>
    <s v=""/>
    <x v="25"/>
  </r>
  <r>
    <x v="137"/>
    <s v="NHS England South East "/>
    <x v="137"/>
    <n v="0"/>
    <n v="0"/>
    <n v="1419"/>
    <n v="1419"/>
    <n v="0"/>
    <n v="0"/>
    <n v="1400"/>
    <n v="1400"/>
    <n v="0.98661028893587033"/>
    <s v=""/>
    <x v="26"/>
  </r>
  <r>
    <x v="138"/>
    <s v="NHS England South East "/>
    <x v="138"/>
    <n v="0"/>
    <n v="0"/>
    <n v="1969"/>
    <n v="1969"/>
    <n v="0"/>
    <n v="0"/>
    <n v="1969"/>
    <n v="1969"/>
    <n v="1"/>
    <s v=""/>
    <x v="25"/>
  </r>
  <r>
    <x v="139"/>
    <s v="NHS England South East "/>
    <x v="139"/>
    <n v="9848"/>
    <n v="1233"/>
    <n v="3232"/>
    <n v="14313"/>
    <n v="6755"/>
    <n v="1233"/>
    <n v="3112"/>
    <n v="11100"/>
    <n v="0.77551875916998536"/>
    <n v="0.68592607636068237"/>
    <x v="26"/>
  </r>
  <r>
    <x v="140"/>
    <s v="NHS England South East "/>
    <x v="140"/>
    <n v="12375"/>
    <n v="0"/>
    <n v="4121"/>
    <n v="16496"/>
    <n v="9198"/>
    <n v="0"/>
    <n v="4023"/>
    <n v="13221"/>
    <n v="0.80146702230843836"/>
    <n v="0.74327272727272731"/>
    <x v="27"/>
  </r>
  <r>
    <x v="141"/>
    <s v="NHS England South East "/>
    <x v="141"/>
    <n v="13689"/>
    <n v="0"/>
    <n v="13271"/>
    <n v="26960"/>
    <n v="6974"/>
    <n v="0"/>
    <n v="12457"/>
    <n v="19431"/>
    <n v="0.72073442136498511"/>
    <n v="0.50946015048579152"/>
    <x v="27"/>
  </r>
  <r>
    <x v="142"/>
    <s v="NHS England South East "/>
    <x v="142"/>
    <n v="12359"/>
    <n v="0"/>
    <n v="3758"/>
    <n v="16117"/>
    <n v="8240"/>
    <n v="0"/>
    <n v="3710"/>
    <n v="11950"/>
    <n v="0.74145312403052677"/>
    <n v="0.66672060846346792"/>
    <x v="25"/>
  </r>
  <r>
    <x v="143"/>
    <s v="NHS England South East "/>
    <x v="143"/>
    <n v="0"/>
    <n v="0"/>
    <n v="2784"/>
    <n v="2784"/>
    <n v="0"/>
    <n v="0"/>
    <n v="2784"/>
    <n v="2784"/>
    <n v="1"/>
    <s v=""/>
    <x v="27"/>
  </r>
  <r>
    <x v="144"/>
    <s v="NHS England South East "/>
    <x v="144"/>
    <n v="0"/>
    <n v="0"/>
    <n v="2453"/>
    <n v="2453"/>
    <n v="0"/>
    <n v="0"/>
    <n v="2383"/>
    <n v="2383"/>
    <n v="0.97146351406441089"/>
    <s v=""/>
    <x v="25"/>
  </r>
  <r>
    <x v="145"/>
    <s v="NHS England South East "/>
    <x v="145"/>
    <n v="23398"/>
    <n v="944"/>
    <n v="11567"/>
    <n v="35909"/>
    <n v="14648"/>
    <n v="944"/>
    <n v="11436"/>
    <n v="27028"/>
    <n v="0.75268038653262415"/>
    <n v="0.626036413368664"/>
    <x v="26"/>
  </r>
  <r>
    <x v="146"/>
    <s v="NHS England South East "/>
    <x v="146"/>
    <n v="0"/>
    <n v="0"/>
    <n v="2855"/>
    <n v="2855"/>
    <n v="0"/>
    <n v="0"/>
    <n v="2805"/>
    <n v="2805"/>
    <n v="0.98248686514886163"/>
    <s v=""/>
    <x v="28"/>
  </r>
  <r>
    <x v="147"/>
    <s v="NHS England South East "/>
    <x v="147"/>
    <n v="10050"/>
    <n v="82"/>
    <n v="4873"/>
    <n v="15005"/>
    <n v="4847"/>
    <n v="82"/>
    <n v="4450"/>
    <n v="9379"/>
    <n v="0.62505831389536826"/>
    <n v="0.48228855721393032"/>
    <x v="28"/>
  </r>
  <r>
    <x v="148"/>
    <s v="NHS England South East "/>
    <x v="148"/>
    <n v="0"/>
    <n v="0"/>
    <n v="901"/>
    <n v="901"/>
    <n v="0"/>
    <n v="0"/>
    <n v="901"/>
    <n v="901"/>
    <n v="1"/>
    <s v=""/>
    <x v="25"/>
  </r>
  <r>
    <x v="149"/>
    <s v="NHS England South East "/>
    <x v="149"/>
    <n v="0"/>
    <n v="0"/>
    <n v="2779"/>
    <n v="2779"/>
    <n v="0"/>
    <n v="0"/>
    <n v="2779"/>
    <n v="2779"/>
    <n v="1"/>
    <s v=""/>
    <x v="27"/>
  </r>
  <r>
    <x v="150"/>
    <s v="NHS England South East "/>
    <x v="150"/>
    <n v="4442"/>
    <n v="230"/>
    <n v="1741"/>
    <n v="6413"/>
    <n v="3195"/>
    <n v="230"/>
    <n v="1713"/>
    <n v="5138"/>
    <n v="0.80118509278029004"/>
    <n v="0.71927059882935618"/>
    <x v="28"/>
  </r>
  <r>
    <x v="151"/>
    <s v="NHS England South East "/>
    <x v="151"/>
    <n v="0"/>
    <n v="0"/>
    <n v="6655"/>
    <n v="6655"/>
    <n v="0"/>
    <n v="0"/>
    <n v="6560"/>
    <n v="6560"/>
    <n v="0.98572501878287"/>
    <s v=""/>
    <x v="27"/>
  </r>
  <r>
    <x v="152"/>
    <s v="NHS England South East "/>
    <x v="152"/>
    <n v="21697"/>
    <n v="0"/>
    <n v="1712"/>
    <n v="23409"/>
    <n v="15826"/>
    <n v="0"/>
    <n v="1711"/>
    <n v="17537"/>
    <n v="0.74915630740313555"/>
    <n v="0.72940959579665388"/>
    <x v="27"/>
  </r>
  <r>
    <x v="153"/>
    <s v="NHS England South East "/>
    <x v="153"/>
    <n v="10582"/>
    <n v="0"/>
    <n v="6701"/>
    <n v="17283"/>
    <n v="7375"/>
    <n v="0"/>
    <n v="5685"/>
    <n v="13060"/>
    <n v="0.75565584678585895"/>
    <n v="0.69693819693819692"/>
    <x v="27"/>
  </r>
  <r>
    <x v="154"/>
    <s v="NHS England South East "/>
    <x v="154"/>
    <n v="0"/>
    <n v="0"/>
    <n v="4909"/>
    <n v="4909"/>
    <n v="0"/>
    <n v="0"/>
    <n v="4664"/>
    <n v="4664"/>
    <n v="0.95009166836422898"/>
    <s v=""/>
    <x v="26"/>
  </r>
  <r>
    <x v="155"/>
    <s v="NHS England South East "/>
    <x v="155"/>
    <n v="15665"/>
    <n v="1472"/>
    <n v="2856"/>
    <n v="19993"/>
    <n v="11573"/>
    <n v="1472"/>
    <n v="2856"/>
    <n v="15901"/>
    <n v="0.79532836492772474"/>
    <n v="0.7387807213533355"/>
    <x v="26"/>
  </r>
  <r>
    <x v="156"/>
    <s v="NHS England South East "/>
    <x v="156"/>
    <n v="0"/>
    <n v="0"/>
    <n v="3185"/>
    <n v="3185"/>
    <n v="0"/>
    <n v="0"/>
    <n v="2921"/>
    <n v="2921"/>
    <n v="0.91711145996860277"/>
    <s v=""/>
    <x v="28"/>
  </r>
  <r>
    <x v="157"/>
    <s v="NHS England South East "/>
    <x v="157"/>
    <n v="13784"/>
    <n v="1176"/>
    <n v="4331"/>
    <n v="19291"/>
    <n v="8297"/>
    <n v="1152"/>
    <n v="4310"/>
    <n v="13759"/>
    <n v="0.71323415064019491"/>
    <n v="0.6019297736506094"/>
    <x v="28"/>
  </r>
  <r>
    <x v="158"/>
    <s v="NHS England South East "/>
    <x v="158"/>
    <n v="0"/>
    <n v="0"/>
    <n v="5701"/>
    <n v="5701"/>
    <n v="0"/>
    <n v="0"/>
    <n v="5519"/>
    <n v="5519"/>
    <n v="0.9680757761796176"/>
    <s v=""/>
    <x v="28"/>
  </r>
  <r>
    <x v="159"/>
    <s v="NHS England South East "/>
    <x v="159"/>
    <n v="0"/>
    <n v="0"/>
    <n v="5733"/>
    <n v="5733"/>
    <n v="0"/>
    <n v="0"/>
    <n v="5589"/>
    <n v="5589"/>
    <n v="0.97488226059654626"/>
    <s v=""/>
    <x v="28"/>
  </r>
  <r>
    <x v="160"/>
    <s v="NHS England South East "/>
    <x v="160"/>
    <n v="0"/>
    <n v="0"/>
    <n v="1433"/>
    <n v="1433"/>
    <n v="0"/>
    <n v="0"/>
    <n v="1432"/>
    <n v="1432"/>
    <n v="0.99930216329378929"/>
    <s v=""/>
    <x v="25"/>
  </r>
  <r>
    <x v="161"/>
    <s v="NHS England South East "/>
    <x v="161"/>
    <n v="12872"/>
    <n v="2923"/>
    <n v="3494"/>
    <n v="19289"/>
    <n v="8100"/>
    <n v="2790"/>
    <n v="3494"/>
    <n v="14384"/>
    <n v="0.74570999014982631"/>
    <n v="0.62927284027346175"/>
    <x v="26"/>
  </r>
  <r>
    <x v="162"/>
    <s v="NHS England South East "/>
    <x v="162"/>
    <n v="7978"/>
    <n v="0"/>
    <n v="2477"/>
    <n v="10455"/>
    <n v="5178"/>
    <n v="0"/>
    <n v="2476"/>
    <n v="7654"/>
    <n v="0.73208990913438543"/>
    <n v="0.64903484582602156"/>
    <x v="25"/>
  </r>
  <r>
    <x v="163"/>
    <s v="NHS England South East "/>
    <x v="163"/>
    <n v="11041"/>
    <n v="0"/>
    <n v="0"/>
    <n v="11041"/>
    <n v="5753"/>
    <n v="0"/>
    <n v="0"/>
    <n v="5753"/>
    <n v="0.52105787519246449"/>
    <n v="0.52105787519246449"/>
    <x v="25"/>
  </r>
  <r>
    <x v="164"/>
    <s v="NHS England South East "/>
    <x v="164"/>
    <n v="0"/>
    <n v="0"/>
    <n v="13126"/>
    <n v="13126"/>
    <n v="0"/>
    <n v="0"/>
    <n v="12637"/>
    <n v="12637"/>
    <n v="0.96274569556605216"/>
    <s v=""/>
    <x v="25"/>
  </r>
  <r>
    <x v="165"/>
    <s v="NHS England South East "/>
    <x v="165"/>
    <n v="12362"/>
    <n v="1182"/>
    <n v="0"/>
    <n v="13544"/>
    <n v="8411"/>
    <n v="1167"/>
    <n v="0"/>
    <n v="9578"/>
    <n v="0.70717660956881279"/>
    <n v="0.68039152240737744"/>
    <x v="28"/>
  </r>
  <r>
    <x v="166"/>
    <s v="NHS England South East "/>
    <x v="166"/>
    <n v="30362"/>
    <n v="1563"/>
    <n v="1900"/>
    <n v="33825"/>
    <n v="17422"/>
    <n v="1399"/>
    <n v="1683"/>
    <n v="20504"/>
    <n v="0.60617886178861791"/>
    <n v="0.57380936697187268"/>
    <x v="25"/>
  </r>
  <r>
    <x v="167"/>
    <s v="NHS England South East "/>
    <x v="167"/>
    <n v="0"/>
    <n v="0"/>
    <n v="5085"/>
    <n v="5085"/>
    <n v="0"/>
    <n v="0"/>
    <n v="5085"/>
    <n v="5085"/>
    <n v="1"/>
    <s v=""/>
    <x v="27"/>
  </r>
  <r>
    <x v="168"/>
    <s v="NHS England South East "/>
    <x v="168"/>
    <n v="0"/>
    <n v="0"/>
    <n v="2773"/>
    <n v="2773"/>
    <n v="0"/>
    <n v="0"/>
    <n v="2689"/>
    <n v="2689"/>
    <n v="0.96970789758384424"/>
    <s v=""/>
    <x v="25"/>
  </r>
  <r>
    <x v="169"/>
    <s v="NHS England South West "/>
    <x v="169"/>
    <n v="26019"/>
    <n v="2648"/>
    <n v="0"/>
    <n v="28667"/>
    <n v="17631"/>
    <n v="2342"/>
    <n v="0"/>
    <n v="19973"/>
    <n v="0.69672445669236405"/>
    <n v="0.67762020062262196"/>
    <x v="29"/>
  </r>
  <r>
    <x v="170"/>
    <s v="NHS England South West "/>
    <x v="170"/>
    <n v="0"/>
    <n v="0"/>
    <n v="1811"/>
    <n v="1811"/>
    <n v="0"/>
    <n v="0"/>
    <n v="1782"/>
    <n v="1782"/>
    <n v="0.98398674765323024"/>
    <s v=""/>
    <x v="30"/>
  </r>
  <r>
    <x v="171"/>
    <s v="NHS England South West "/>
    <x v="171"/>
    <n v="0"/>
    <n v="0"/>
    <n v="0"/>
    <n v="0"/>
    <n v="0"/>
    <n v="0"/>
    <n v="0"/>
    <n v="0"/>
    <s v="Missing Data"/>
    <s v=""/>
    <x v="31"/>
  </r>
  <r>
    <x v="172"/>
    <s v="NHS England South West "/>
    <x v="172"/>
    <n v="5255"/>
    <n v="0"/>
    <n v="4436"/>
    <n v="9691"/>
    <n v="3185"/>
    <n v="0"/>
    <n v="4430"/>
    <n v="7615"/>
    <n v="0.78578062119492309"/>
    <n v="0.6060894386298763"/>
    <x v="32"/>
  </r>
  <r>
    <x v="173"/>
    <s v="NHS England South West "/>
    <x v="173"/>
    <n v="0"/>
    <n v="0"/>
    <n v="0"/>
    <n v="0"/>
    <n v="0"/>
    <n v="0"/>
    <n v="0"/>
    <n v="0"/>
    <s v="Missing Data"/>
    <s v=""/>
    <x v="32"/>
  </r>
  <r>
    <x v="174"/>
    <s v="NHS England South West "/>
    <x v="174"/>
    <n v="0"/>
    <n v="0"/>
    <n v="8345"/>
    <n v="8345"/>
    <n v="0"/>
    <n v="0"/>
    <n v="8020"/>
    <n v="8020"/>
    <n v="0.96105452366686639"/>
    <s v=""/>
    <x v="33"/>
  </r>
  <r>
    <x v="175"/>
    <s v="NHS England South West "/>
    <x v="175"/>
    <n v="14773"/>
    <n v="0"/>
    <n v="0"/>
    <n v="14773"/>
    <n v="9134"/>
    <n v="0"/>
    <n v="0"/>
    <n v="9134"/>
    <n v="0.61829012387463611"/>
    <n v="0.61829012387463611"/>
    <x v="33"/>
  </r>
  <r>
    <x v="176"/>
    <s v="NHS England South West "/>
    <x v="176"/>
    <n v="7991"/>
    <n v="0"/>
    <n v="4602"/>
    <n v="12593"/>
    <n v="4283"/>
    <n v="0"/>
    <n v="3974"/>
    <n v="8257"/>
    <n v="0.65568172794409596"/>
    <n v="0.53597797522212487"/>
    <x v="30"/>
  </r>
  <r>
    <x v="177"/>
    <s v="NHS England South West "/>
    <x v="177"/>
    <n v="0"/>
    <n v="0"/>
    <n v="67"/>
    <n v="67"/>
    <n v="0"/>
    <n v="0"/>
    <n v="67"/>
    <n v="67"/>
    <n v="1"/>
    <s v=""/>
    <x v="34"/>
  </r>
  <r>
    <x v="178"/>
    <s v="NHS England South West "/>
    <x v="178"/>
    <n v="0"/>
    <n v="0"/>
    <n v="1382"/>
    <n v="1382"/>
    <n v="0"/>
    <n v="0"/>
    <n v="1378"/>
    <n v="1378"/>
    <n v="0.99710564399421131"/>
    <s v=""/>
    <x v="30"/>
  </r>
  <r>
    <x v="179"/>
    <s v="NHS England South West "/>
    <x v="179"/>
    <n v="7435"/>
    <n v="0"/>
    <n v="12254"/>
    <n v="19689"/>
    <n v="3507"/>
    <n v="0"/>
    <n v="11352"/>
    <n v="14859"/>
    <n v="0.75468535730610997"/>
    <n v="0.47168796234028243"/>
    <x v="31"/>
  </r>
  <r>
    <x v="180"/>
    <s v="NHS England South West "/>
    <x v="180"/>
    <n v="14759"/>
    <n v="0"/>
    <n v="5049"/>
    <n v="19808"/>
    <n v="7415"/>
    <n v="0"/>
    <n v="5035"/>
    <n v="12450"/>
    <n v="0.62853392568659128"/>
    <n v="0.50240531201300898"/>
    <x v="34"/>
  </r>
  <r>
    <x v="181"/>
    <s v="NHS England South West "/>
    <x v="181"/>
    <n v="9425"/>
    <n v="0"/>
    <n v="0"/>
    <n v="9425"/>
    <n v="5346"/>
    <n v="0"/>
    <n v="0"/>
    <n v="5346"/>
    <n v="0.56721485411140582"/>
    <n v="0.56721485411140582"/>
    <x v="30"/>
  </r>
  <r>
    <x v="182"/>
    <s v="NHS England South West "/>
    <x v="182"/>
    <n v="5083"/>
    <n v="339"/>
    <n v="2102"/>
    <n v="7524"/>
    <n v="2562"/>
    <n v="339"/>
    <n v="2102"/>
    <n v="5003"/>
    <n v="0.66493886230728338"/>
    <n v="0.50403305134762932"/>
    <x v="30"/>
  </r>
  <r>
    <x v="183"/>
    <s v="NHS England South West "/>
    <x v="183"/>
    <n v="0"/>
    <n v="0"/>
    <n v="9915"/>
    <n v="9915"/>
    <n v="0"/>
    <n v="0"/>
    <n v="9360"/>
    <n v="9360"/>
    <n v="0.94402420574886536"/>
    <s v=""/>
    <x v="29"/>
  </r>
  <r>
    <x v="184"/>
    <s v="NHS England South West "/>
    <x v="184"/>
    <n v="12302"/>
    <n v="0"/>
    <n v="9553"/>
    <n v="21855"/>
    <n v="6447"/>
    <n v="0"/>
    <n v="9229"/>
    <n v="15676"/>
    <n v="0.71727293525509039"/>
    <n v="0.52406112827182572"/>
    <x v="35"/>
  </r>
  <r>
    <x v="185"/>
    <s v="NHS England South West "/>
    <x v="185"/>
    <n v="0"/>
    <n v="0"/>
    <n v="1826"/>
    <n v="1826"/>
    <n v="0"/>
    <n v="0"/>
    <n v="1713"/>
    <n v="1713"/>
    <n v="0.93811610076670315"/>
    <s v=""/>
    <x v="34"/>
  </r>
  <r>
    <x v="186"/>
    <s v="NHS England South West "/>
    <x v="186"/>
    <n v="0"/>
    <n v="0"/>
    <n v="702"/>
    <n v="702"/>
    <n v="0"/>
    <n v="0"/>
    <n v="702"/>
    <n v="702"/>
    <n v="1"/>
    <s v=""/>
    <x v="33"/>
  </r>
  <r>
    <x v="187"/>
    <s v="NHS England South West "/>
    <x v="187"/>
    <n v="7380"/>
    <n v="0"/>
    <n v="3743"/>
    <n v="11123"/>
    <n v="4397"/>
    <n v="0"/>
    <n v="3553"/>
    <n v="7950"/>
    <n v="0.71473523330036859"/>
    <n v="0.5957994579945799"/>
    <x v="34"/>
  </r>
  <r>
    <x v="188"/>
    <s v="NHS England South West "/>
    <x v="188"/>
    <n v="0"/>
    <n v="0"/>
    <n v="1624"/>
    <n v="1624"/>
    <n v="0"/>
    <n v="0"/>
    <n v="1604"/>
    <n v="1604"/>
    <n v="0.98768472906403937"/>
    <s v=""/>
    <x v="30"/>
  </r>
  <r>
    <x v="189"/>
    <s v="NHS England South West "/>
    <x v="189"/>
    <n v="16401"/>
    <n v="0"/>
    <n v="4083"/>
    <n v="20484"/>
    <n v="10634"/>
    <n v="0"/>
    <n v="4083"/>
    <n v="14717"/>
    <n v="0.71846319078305021"/>
    <n v="0.64837509907932445"/>
    <x v="32"/>
  </r>
  <r>
    <x v="190"/>
    <s v="NHS England South West "/>
    <x v="190"/>
    <n v="9089"/>
    <n v="74"/>
    <n v="8290"/>
    <n v="17453"/>
    <n v="3293"/>
    <n v="68"/>
    <n v="8089"/>
    <n v="11450"/>
    <n v="0.65604767088752647"/>
    <n v="0.36230608427769834"/>
    <x v="34"/>
  </r>
  <r>
    <x v="191"/>
    <m/>
    <x v="191"/>
    <m/>
    <m/>
    <m/>
    <n v="2444743"/>
    <m/>
    <m/>
    <m/>
    <m/>
    <m/>
    <m/>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72946-4699-844E-9C60-6F37A923C74C}" name="PivotTable3" cacheId="19" applyNumberFormats="0" applyBorderFormats="0" applyFontFormats="0" applyPatternFormats="0" applyAlignmentFormats="0" applyWidthHeightFormats="1" dataCaption="Data" grandTotalCaption="Grand total covers the four providers with Type 1 departments only." updatedVersion="8" showMemberPropertyTips="0" useAutoFormatting="1" itemPrintTitles="1" createdVersion="1" indent="0" compact="0" compactData="0" gridDropZones="1" chartFormat="8">
  <location ref="A3:G9" firstHeaderRow="1" firstDataRow="2" firstDataCol="1" rowPageCount="1" colPageCount="1"/>
  <pivotFields count="16">
    <pivotField compact="0" outline="0" showAll="0" includeNewItemsInFilter="1">
      <items count="193">
        <item x="186"/>
        <item x="167"/>
        <item x="19"/>
        <item x="106"/>
        <item x="143"/>
        <item x="156"/>
        <item x="93"/>
        <item x="54"/>
        <item x="48"/>
        <item x="63"/>
        <item x="149"/>
        <item x="5"/>
        <item x="16"/>
        <item x="188"/>
        <item x="25"/>
        <item x="177"/>
        <item x="144"/>
        <item x="183"/>
        <item x="81"/>
        <item x="82"/>
        <item x="86"/>
        <item x="88"/>
        <item x="44"/>
        <item x="51"/>
        <item x="50"/>
        <item x="45"/>
        <item x="52"/>
        <item x="53"/>
        <item x="55"/>
        <item x="58"/>
        <item x="59"/>
        <item x="170"/>
        <item x="126"/>
        <item x="178"/>
        <item x="158"/>
        <item x="159"/>
        <item x="136"/>
        <item x="168"/>
        <item x="125"/>
        <item x="148"/>
        <item x="118"/>
        <item x="102"/>
        <item x="189"/>
        <item x="62"/>
        <item x="150"/>
        <item x="18"/>
        <item x="31"/>
        <item x="162"/>
        <item x="169"/>
        <item x="187"/>
        <item x="80"/>
        <item x="7"/>
        <item x="34"/>
        <item x="35"/>
        <item x="37"/>
        <item x="33"/>
        <item x="29"/>
        <item x="172"/>
        <item x="75"/>
        <item x="133"/>
        <item x="119"/>
        <item x="115"/>
        <item x="108"/>
        <item x="121"/>
        <item x="129"/>
        <item x="0"/>
        <item x="107"/>
        <item x="89"/>
        <item x="78"/>
        <item x="99"/>
        <item x="13"/>
        <item x="181"/>
        <item x="8"/>
        <item x="3"/>
        <item x="164"/>
        <item x="145"/>
        <item x="173"/>
        <item x="179"/>
        <item x="116"/>
        <item x="117"/>
        <item x="130"/>
        <item x="17"/>
        <item x="79"/>
        <item x="105"/>
        <item x="41"/>
        <item x="10"/>
        <item x="6"/>
        <item x="15"/>
        <item x="1"/>
        <item x="184"/>
        <item x="180"/>
        <item x="165"/>
        <item x="100"/>
        <item x="157"/>
        <item x="161"/>
        <item x="24"/>
        <item x="30"/>
        <item x="22"/>
        <item x="36"/>
        <item x="171"/>
        <item x="64"/>
        <item x="74"/>
        <item x="97"/>
        <item x="112"/>
        <item x="111"/>
        <item x="28"/>
        <item x="61"/>
        <item x="190"/>
        <item x="71"/>
        <item x="39"/>
        <item x="66"/>
        <item x="67"/>
        <item x="77"/>
        <item x="46"/>
        <item x="9"/>
        <item x="124"/>
        <item x="110"/>
        <item x="128"/>
        <item x="176"/>
        <item x="147"/>
        <item x="140"/>
        <item x="65"/>
        <item x="95"/>
        <item x="47"/>
        <item x="56"/>
        <item x="154"/>
        <item x="182"/>
        <item x="85"/>
        <item x="32"/>
        <item x="153"/>
        <item x="160"/>
        <item x="40"/>
        <item x="21"/>
        <item x="12"/>
        <item x="26"/>
        <item x="87"/>
        <item x="92"/>
        <item x="134"/>
        <item x="70"/>
        <item x="38"/>
        <item x="104"/>
        <item x="175"/>
        <item x="98"/>
        <item x="72"/>
        <item x="155"/>
        <item x="135"/>
        <item x="163"/>
        <item x="174"/>
        <item x="101"/>
        <item x="131"/>
        <item x="91"/>
        <item x="23"/>
        <item x="141"/>
        <item x="96"/>
        <item x="146"/>
        <item x="120"/>
        <item x="90"/>
        <item x="69"/>
        <item x="73"/>
        <item x="152"/>
        <item x="14"/>
        <item x="2"/>
        <item x="127"/>
        <item x="76"/>
        <item x="123"/>
        <item x="137"/>
        <item x="83"/>
        <item x="57"/>
        <item x="142"/>
        <item x="94"/>
        <item x="103"/>
        <item x="60"/>
        <item x="109"/>
        <item x="114"/>
        <item x="84"/>
        <item x="139"/>
        <item x="113"/>
        <item x="68"/>
        <item x="4"/>
        <item x="49"/>
        <item x="132"/>
        <item x="43"/>
        <item x="185"/>
        <item x="42"/>
        <item x="27"/>
        <item x="166"/>
        <item x="20"/>
        <item x="151"/>
        <item x="11"/>
        <item x="122"/>
        <item x="138"/>
        <item x="191"/>
        <item t="default"/>
      </items>
    </pivotField>
    <pivotField compact="0" outline="0" showAll="0" includeNewItemsInFilter="1"/>
    <pivotField axis="axisRow" compact="0" outline="0" showAll="0" includeNewItemsInFilter="1" sortType="descending">
      <items count="193">
        <item h="1" x="78"/>
        <item h="1" x="108"/>
        <item h="1" x="135"/>
        <item h="1" x="136"/>
        <item h="1" x="16"/>
        <item h="1" x="17"/>
        <item h="1" x="79"/>
        <item h="1" x="18"/>
        <item h="1" x="19"/>
        <item h="1" x="0"/>
        <item h="1" x="137"/>
        <item h="1" x="40"/>
        <item h="1" x="109"/>
        <item h="1" x="110"/>
        <item h="1" x="80"/>
        <item h="1" x="81"/>
        <item h="1" x="82"/>
        <item h="1" x="138"/>
        <item h="1" x="169"/>
        <item h="1" x="139"/>
        <item h="1" x="83"/>
        <item h="1" x="1"/>
        <item h="1" x="20"/>
        <item h="1" x="21"/>
        <item h="1" x="41"/>
        <item h="1" x="170"/>
        <item h="1" x="171"/>
        <item h="1" x="111"/>
        <item h="1" x="84"/>
        <item h="1" x="42"/>
        <item h="1" x="22"/>
        <item x="140"/>
        <item h="1" x="43"/>
        <item h="1" x="44"/>
        <item h="1" x="85"/>
        <item h="1" x="172"/>
        <item h="1" x="173"/>
        <item h="1" x="2"/>
        <item h="1" x="112"/>
        <item x="141"/>
        <item h="1" x="113"/>
        <item h="1" x="86"/>
        <item h="1" x="3"/>
        <item h="1" x="142"/>
        <item h="1" x="45"/>
        <item h="1" x="23"/>
        <item h="1" x="143"/>
        <item h="1" x="144"/>
        <item h="1" x="145"/>
        <item h="1" x="87"/>
        <item h="1" x="46"/>
        <item h="1" x="174"/>
        <item h="1" x="175"/>
        <item h="1" x="88"/>
        <item h="1" x="176"/>
        <item h="1" x="24"/>
        <item h="1" x="146"/>
        <item h="1" x="147"/>
        <item h="1" x="25"/>
        <item h="1" x="89"/>
        <item h="1" x="148"/>
        <item h="1" x="149"/>
        <item h="1" x="4"/>
        <item h="1" x="5"/>
        <item h="1" x="26"/>
        <item h="1" x="90"/>
        <item h="1" x="91"/>
        <item h="1" x="27"/>
        <item h="1" x="150"/>
        <item h="1" x="6"/>
        <item h="1" x="151"/>
        <item h="1" x="47"/>
        <item h="1" x="28"/>
        <item h="1" x="29"/>
        <item h="1" x="114"/>
        <item h="1" x="48"/>
        <item h="1" x="92"/>
        <item h="1" x="30"/>
        <item h="1" x="49"/>
        <item h="1" x="115"/>
        <item h="1" x="116"/>
        <item h="1" x="117"/>
        <item h="1" x="50"/>
        <item h="1" x="93"/>
        <item h="1" x="31"/>
        <item h="1" x="51"/>
        <item h="1" x="52"/>
        <item x="152"/>
        <item h="1" x="118"/>
        <item h="1" x="53"/>
        <item h="1" x="54"/>
        <item x="153"/>
        <item h="1" x="55"/>
        <item h="1" x="119"/>
        <item h="1" x="120"/>
        <item h="1" x="7"/>
        <item h="1" x="121"/>
        <item h="1" x="94"/>
        <item h="1" x="8"/>
        <item h="1" x="122"/>
        <item h="1" x="32"/>
        <item h="1" x="9"/>
        <item h="1" x="123"/>
        <item h="1" x="95"/>
        <item h="1" x="33"/>
        <item h="1" x="96"/>
        <item h="1" x="10"/>
        <item h="1" x="56"/>
        <item h="1" x="124"/>
        <item h="1" x="97"/>
        <item h="1" x="98"/>
        <item h="1" x="57"/>
        <item h="1" x="58"/>
        <item h="1" x="177"/>
        <item h="1" x="154"/>
        <item h="1" x="155"/>
        <item h="1" x="178"/>
        <item h="1" x="156"/>
        <item h="1" x="157"/>
        <item h="1" x="158"/>
        <item h="1" x="159"/>
        <item h="1" x="11"/>
        <item h="1" x="160"/>
        <item h="1" x="125"/>
        <item h="1" x="161"/>
        <item h="1" x="179"/>
        <item h="1" x="180"/>
        <item h="1" x="34"/>
        <item h="1" x="35"/>
        <item h="1" x="162"/>
        <item h="1" x="181"/>
        <item h="1" x="59"/>
        <item h="1" x="182"/>
        <item h="1" x="60"/>
        <item h="1" x="99"/>
        <item h="1" x="100"/>
        <item h="1" x="61"/>
        <item h="1" x="62"/>
        <item h="1" x="183"/>
        <item h="1" x="126"/>
        <item h="1" x="63"/>
        <item h="1" x="184"/>
        <item h="1" x="101"/>
        <item h="1" x="102"/>
        <item h="1" x="64"/>
        <item h="1" x="103"/>
        <item h="1" x="185"/>
        <item h="1" x="36"/>
        <item h="1" x="127"/>
        <item h="1" x="163"/>
        <item h="1" x="164"/>
        <item h="1" x="128"/>
        <item h="1" x="186"/>
        <item h="1" x="129"/>
        <item h="1" x="65"/>
        <item h="1" x="37"/>
        <item h="1" x="104"/>
        <item h="1" x="12"/>
        <item h="1" x="13"/>
        <item h="1" x="66"/>
        <item h="1" x="105"/>
        <item h="1" x="67"/>
        <item h="1" x="68"/>
        <item h="1" x="130"/>
        <item h="1" x="187"/>
        <item h="1" x="188"/>
        <item h="1" x="69"/>
        <item h="1" x="38"/>
        <item h="1" x="165"/>
        <item h="1" x="70"/>
        <item h="1" x="71"/>
        <item h="1" x="189"/>
        <item h="1" x="72"/>
        <item h="1" x="73"/>
        <item h="1" x="131"/>
        <item h="1" x="74"/>
        <item h="1" x="190"/>
        <item h="1" x="166"/>
        <item h="1" x="75"/>
        <item h="1" x="14"/>
        <item h="1" x="15"/>
        <item h="1" x="167"/>
        <item h="1" x="39"/>
        <item h="1" x="132"/>
        <item h="1" x="133"/>
        <item h="1" x="168"/>
        <item h="1" x="76"/>
        <item h="1" x="106"/>
        <item h="1" x="134"/>
        <item h="1" x="77"/>
        <item h="1" x="107"/>
        <item h="1" x="191"/>
        <item t="default"/>
      </items>
      <autoSortScope>
        <pivotArea dataOnly="0" outline="0" fieldPosition="0">
          <references count="1">
            <reference field="4294967294" count="1" selected="0">
              <x v="4"/>
            </reference>
          </references>
        </pivotArea>
      </autoSortScope>
    </pivotField>
    <pivotField dataField="1" compact="0" outline="0" showAll="0" includeNewItemsInFilter="1"/>
    <pivotField compact="0" outline="0" showAll="0" includeNewItemsInFilter="1"/>
    <pivotField compact="0" outline="0" showAll="0" includeNewItemsInFilter="1"/>
    <pivotField dataField="1" compact="0" numFmtId="3"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axis="axisPage" compact="0" outline="0" multipleItemSelectionAllowed="1" showAll="0" includeNewItemsInFilter="1">
      <items count="38">
        <item h="1" x="30"/>
        <item h="1" x="7"/>
        <item h="1" x="14"/>
        <item h="1" x="29"/>
        <item h="1" x="0"/>
        <item h="1" x="22"/>
        <item h="1" x="31"/>
        <item h="1" x="9"/>
        <item h="1" x="8"/>
        <item h="1" x="34"/>
        <item h="1" x="32"/>
        <item h="1" x="2"/>
        <item h="1" x="33"/>
        <item h="1" x="24"/>
        <item h="1" x="28"/>
        <item h="1" x="17"/>
        <item h="1" x="20"/>
        <item x="27"/>
        <item h="1" x="23"/>
        <item h="1" x="10"/>
        <item h="1" x="12"/>
        <item h="1" x="1"/>
        <item h="1" x="21"/>
        <item h="1" x="3"/>
        <item h="1" x="11"/>
        <item h="1" x="13"/>
        <item h="1" x="15"/>
        <item h="1" x="35"/>
        <item h="1" x="4"/>
        <item h="1" x="6"/>
        <item h="1" x="19"/>
        <item h="1" x="16"/>
        <item h="1" x="25"/>
        <item h="1" x="26"/>
        <item h="1" x="5"/>
        <item h="1" x="18"/>
        <item h="1" x="36"/>
        <item t="default"/>
      </items>
    </pivotField>
    <pivotField dataField="1" compact="0" outline="0" dragToRow="0" dragToCol="0" dragToPage="0" showAll="0" includeNewItemsInFilter="1" defaultSubtotal="0"/>
    <pivotField dataField="1" compact="0" outline="0" dragToRow="0" dragToCol="0" dragToPage="0" showAll="0" includeNewItemsInFilter="1" defaultSubtotal="0"/>
  </pivotFields>
  <rowFields count="1">
    <field x="2"/>
  </rowFields>
  <rowItems count="5">
    <i>
      <x v="31"/>
    </i>
    <i>
      <x v="87"/>
    </i>
    <i>
      <x v="91"/>
    </i>
    <i>
      <x v="39"/>
    </i>
    <i t="grand">
      <x/>
    </i>
  </rowItems>
  <colFields count="1">
    <field x="-2"/>
  </colFields>
  <colItems count="6">
    <i>
      <x/>
    </i>
    <i i="1">
      <x v="1"/>
    </i>
    <i i="2">
      <x v="2"/>
    </i>
    <i i="3">
      <x v="3"/>
    </i>
    <i i="4">
      <x v="4"/>
    </i>
    <i i="5">
      <x v="5"/>
    </i>
  </colItems>
  <pageFields count="1">
    <pageField fld="13" hier="-1"/>
  </pageFields>
  <dataFields count="6">
    <dataField name="Sum of T1_Att" fld="3" baseField="0" baseItem="0"/>
    <dataField name="Sum of T1_WithIn4" fld="7" baseField="0" baseItem="0"/>
    <dataField name="Sum of Total_Att" fld="6" baseField="0" baseItem="0" numFmtId="3"/>
    <dataField name="Sum of Total _WithIn4" fld="10" baseField="0" baseItem="0"/>
    <dataField name="Sum of Type1_pct" fld="14" baseField="0" baseItem="0" numFmtId="164"/>
    <dataField name="Sum of All_pct" fld="15" baseField="0" baseItem="0" numFmtId="164"/>
  </dataFields>
  <formats count="20">
    <format dxfId="76">
      <pivotArea outline="0" fieldPosition="0">
        <references count="1">
          <reference field="4294967294" count="1" selected="0">
            <x v="4"/>
          </reference>
        </references>
      </pivotArea>
    </format>
    <format dxfId="75">
      <pivotArea outline="0" fieldPosition="0">
        <references count="1">
          <reference field="4294967294" count="1" selected="0">
            <x v="5"/>
          </reference>
        </references>
      </pivotArea>
    </format>
    <format dxfId="74">
      <pivotArea type="all" dataOnly="0" outline="0" fieldPosition="0"/>
    </format>
    <format dxfId="73">
      <pivotArea outline="0" fieldPosition="0"/>
    </format>
    <format dxfId="72">
      <pivotArea type="origin" dataOnly="0" labelOnly="1" outline="0" fieldPosition="0"/>
    </format>
    <format dxfId="71">
      <pivotArea field="-2" type="button" dataOnly="0" labelOnly="1" outline="0" axis="axisCol" fieldPosition="0"/>
    </format>
    <format dxfId="70">
      <pivotArea type="topRight" dataOnly="0" labelOnly="1" outline="0" fieldPosition="0"/>
    </format>
    <format dxfId="69">
      <pivotArea field="2" type="button" dataOnly="0" labelOnly="1" outline="0" axis="axisRow" fieldPosition="0"/>
    </format>
    <format dxfId="68">
      <pivotArea dataOnly="0" labelOnly="1" outline="0" fieldPosition="0">
        <references count="1">
          <reference field="2" count="0"/>
        </references>
      </pivotArea>
    </format>
    <format dxfId="67">
      <pivotArea dataOnly="0" labelOnly="1" grandRow="1" outline="0" fieldPosition="0"/>
    </format>
    <format dxfId="66">
      <pivotArea dataOnly="0" labelOnly="1" outline="0" fieldPosition="0">
        <references count="1">
          <reference field="4294967294" count="6">
            <x v="0"/>
            <x v="1"/>
            <x v="2"/>
            <x v="3"/>
            <x v="4"/>
            <x v="5"/>
          </reference>
        </references>
      </pivotArea>
    </format>
    <format dxfId="65">
      <pivotArea dataOnly="0" labelOnly="1" outline="0" fieldPosition="0">
        <references count="1">
          <reference field="13" count="0"/>
        </references>
      </pivotArea>
    </format>
    <format dxfId="64">
      <pivotArea dataOnly="0" labelOnly="1" outline="0" fieldPosition="0">
        <references count="1">
          <reference field="13" count="0"/>
        </references>
      </pivotArea>
    </format>
    <format dxfId="63">
      <pivotArea dataOnly="0" labelOnly="1" outline="0" fieldPosition="0">
        <references count="1">
          <reference field="13" count="0"/>
        </references>
      </pivotArea>
    </format>
    <format dxfId="62">
      <pivotArea field="2" type="button" dataOnly="0" labelOnly="1" outline="0" axis="axisRow" fieldPosition="0"/>
    </format>
    <format dxfId="61">
      <pivotArea field="2" type="button" dataOnly="0" labelOnly="1" outline="0" axis="axisRow" fieldPosition="0"/>
    </format>
    <format dxfId="60">
      <pivotArea field="13" type="button" dataOnly="0" labelOnly="1" outline="0" axis="axisPage" fieldPosition="0"/>
    </format>
    <format dxfId="9">
      <pivotArea dataOnly="0" labelOnly="1" grandRow="1" outline="0" fieldPosition="0"/>
    </format>
    <format dxfId="5">
      <pivotArea dataOnly="0" labelOnly="1" grandRow="1" outline="0" fieldPosition="0"/>
    </format>
    <format dxfId="1">
      <pivotArea dataOnly="0" labelOnly="1" grandRow="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13C58-F277-D845-8F4B-E455900B283B}" name="AE" displayName="AE" ref="A1:N193" totalsRowCount="1" headerRowDxfId="59" dataDxfId="57" headerRowBorderDxfId="58" tableBorderDxfId="56">
  <autoFilter ref="A1:N192" xr:uid="{5F913C58-F277-D845-8F4B-E455900B283B}"/>
  <tableColumns count="14">
    <tableColumn id="1" xr3:uid="{A32C42FC-AC7A-BB42-9055-A893354A7C73}" name="Code" dataDxfId="55" totalsRowDxfId="54"/>
    <tableColumn id="2" xr3:uid="{A63AB6DA-2125-3C42-8FD6-66758FB5DB35}" name="Region" dataDxfId="53" totalsRowDxfId="52"/>
    <tableColumn id="3" xr3:uid="{CF913BA3-D3EB-3A4C-B8BF-131ACFBDAA71}" name="Provider" dataDxfId="51" totalsRowDxfId="50"/>
    <tableColumn id="4" xr3:uid="{2A035DA4-6087-CF44-86F3-84FC35A4D9A0}" name="T1_Att" dataDxfId="49" totalsRowDxfId="48"/>
    <tableColumn id="5" xr3:uid="{C88232F5-9787-4A48-BC37-B32FC5F735FB}" name="T2_Att" dataDxfId="47" totalsRowDxfId="46"/>
    <tableColumn id="6" xr3:uid="{73C9E214-8147-C24A-87B7-23EC52AD62DB}" name="T3_Att" dataDxfId="45" totalsRowDxfId="44"/>
    <tableColumn id="7" xr3:uid="{B1F16ECD-141D-514C-9DE8-E84B1D4C05CC}" name="Total_Att" totalsRowFunction="custom" dataDxfId="43" totalsRowDxfId="42">
      <totalsRowFormula>SUM(G2:G192)</totalsRowFormula>
    </tableColumn>
    <tableColumn id="8" xr3:uid="{E76ABD1D-8B92-334F-95AF-866FF0798625}" name="T1_WithIn4" dataDxfId="41" totalsRowDxfId="40"/>
    <tableColumn id="9" xr3:uid="{9AF504A0-5AE0-6B40-A122-A1AACD206B0D}" name="T2_WithIn4" dataDxfId="39" totalsRowDxfId="38"/>
    <tableColumn id="10" xr3:uid="{B201BB37-C02E-BA40-8246-732B159718E8}" name="T3_WithIn4" dataDxfId="37" totalsRowDxfId="36"/>
    <tableColumn id="11" xr3:uid="{411BB7D1-28EA-A847-A3B8-E0A5C5044F04}" name="Total _WithIn4" dataDxfId="35" totalsRowDxfId="34"/>
    <tableColumn id="12" xr3:uid="{65362CFB-028C-0A43-8121-89049129EA9D}" name="AllTypes_4hr_pct" dataDxfId="33" totalsRowDxfId="32">
      <calculatedColumnFormula>IFERROR(K2/G2, "Missing Data")</calculatedColumnFormula>
    </tableColumn>
    <tableColumn id="13" xr3:uid="{635078EF-C2AE-1E4B-B0FC-5F16176274AD}" name="Type1_4hr_pct" dataDxfId="31" totalsRowDxfId="30">
      <calculatedColumnFormula>IFERROR(IF(D2=0,"",H2/D2), "Missing Data")</calculatedColumnFormula>
    </tableColumn>
    <tableColumn id="14" xr3:uid="{79FC042A-43A0-E149-95C0-43C1757B1AF6}" name="ICB" dataDxfId="29" totalsRowDxfId="28">
      <calculatedColumnFormula>_xlfn.XLOOKUP(AE[[#This Row],[Code]], 'System Mapping'!$A:$A, 'System Mapping'!$D:$D, "Not Found")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E0A3B-5C8C-2440-B6C8-31D77A800207}">
  <sheetPr codeName="Sheet1"/>
  <dimension ref="B1:AD386"/>
  <sheetViews>
    <sheetView topLeftCell="A3" zoomScale="85" zoomScaleNormal="85" workbookViewId="0">
      <selection activeCell="C30" sqref="C30"/>
    </sheetView>
  </sheetViews>
  <sheetFormatPr baseColWidth="10" defaultColWidth="9.1640625" defaultRowHeight="13" x14ac:dyDescent="0.15"/>
  <cols>
    <col min="1" max="1" width="2" style="3" customWidth="1"/>
    <col min="2" max="2" width="13.1640625" style="3" customWidth="1"/>
    <col min="3" max="3" width="87.1640625" style="3" customWidth="1"/>
    <col min="4" max="4" width="18.1640625" style="3" customWidth="1"/>
    <col min="5" max="5" width="18.5" style="3" customWidth="1"/>
    <col min="6" max="25" width="16.1640625" style="3" customWidth="1"/>
    <col min="26" max="26" width="22.5" style="3" customWidth="1"/>
    <col min="27" max="27" width="20.83203125" style="3" customWidth="1"/>
    <col min="28" max="29" width="23.5" style="3" customWidth="1"/>
    <col min="30" max="16384" width="9.1640625" style="3"/>
  </cols>
  <sheetData>
    <row r="1" spans="2:27" s="4" customFormat="1" ht="9.75" customHeight="1" x14ac:dyDescent="0.2"/>
    <row r="2" spans="2:27" ht="19.5" customHeight="1" x14ac:dyDescent="0.2">
      <c r="B2" s="5" t="s">
        <v>0</v>
      </c>
      <c r="C2" s="182" t="s">
        <v>1</v>
      </c>
      <c r="D2" s="13"/>
      <c r="E2" s="13"/>
      <c r="G2" s="7"/>
      <c r="H2" s="7"/>
      <c r="I2" s="7"/>
      <c r="J2" s="7"/>
      <c r="K2" s="7"/>
      <c r="L2" s="8"/>
    </row>
    <row r="3" spans="2:27" ht="27" customHeight="1" x14ac:dyDescent="0.2">
      <c r="B3" s="5"/>
      <c r="C3" s="182"/>
      <c r="D3" s="13"/>
      <c r="E3" s="13"/>
      <c r="G3" s="7"/>
      <c r="H3" s="7"/>
      <c r="I3" s="7"/>
      <c r="J3" s="7"/>
      <c r="K3" s="7"/>
      <c r="L3" s="8"/>
    </row>
    <row r="4" spans="2:27" ht="65.25" customHeight="1" x14ac:dyDescent="0.15">
      <c r="B4" s="110" t="s">
        <v>2</v>
      </c>
      <c r="C4" s="109" t="s">
        <v>3</v>
      </c>
      <c r="D4" s="15"/>
      <c r="E4" s="15"/>
      <c r="G4" s="7"/>
      <c r="H4" s="7"/>
      <c r="I4" s="7"/>
      <c r="J4" s="7"/>
      <c r="K4" s="7"/>
      <c r="L4" s="6"/>
    </row>
    <row r="5" spans="2:27" ht="12.75" customHeight="1" x14ac:dyDescent="0.15">
      <c r="B5" s="5"/>
      <c r="C5" s="15"/>
      <c r="D5" s="15"/>
      <c r="E5" s="15"/>
      <c r="G5" s="7"/>
      <c r="H5" s="7"/>
      <c r="I5" s="7"/>
      <c r="J5" s="7"/>
      <c r="K5" s="7"/>
    </row>
    <row r="6" spans="2:27" ht="16" x14ac:dyDescent="0.2">
      <c r="B6" s="5" t="s">
        <v>4</v>
      </c>
      <c r="C6" s="16" t="s">
        <v>875</v>
      </c>
      <c r="D6" s="16"/>
      <c r="E6" s="12"/>
      <c r="G6" s="7"/>
      <c r="H6" s="7"/>
      <c r="I6" s="7"/>
      <c r="J6" s="7"/>
      <c r="K6" s="7"/>
    </row>
    <row r="7" spans="2:27" ht="23.25" customHeight="1" x14ac:dyDescent="0.15">
      <c r="B7" s="5" t="s">
        <v>5</v>
      </c>
      <c r="C7" s="17" t="s">
        <v>6</v>
      </c>
      <c r="D7" s="17"/>
      <c r="G7" s="7"/>
      <c r="H7" s="7"/>
      <c r="I7" s="7"/>
      <c r="J7" s="7"/>
      <c r="K7" s="7"/>
    </row>
    <row r="8" spans="2:27" ht="12.75" customHeight="1" x14ac:dyDescent="0.15">
      <c r="B8" s="5" t="s">
        <v>7</v>
      </c>
      <c r="C8" s="3" t="s">
        <v>8</v>
      </c>
      <c r="G8" s="7"/>
      <c r="H8" s="7"/>
      <c r="I8" s="7"/>
      <c r="J8" s="7"/>
      <c r="K8" s="7"/>
    </row>
    <row r="9" spans="2:27" ht="12.75" customHeight="1" x14ac:dyDescent="0.15">
      <c r="B9" s="5" t="s">
        <v>9</v>
      </c>
      <c r="C9" s="37" t="s">
        <v>853</v>
      </c>
      <c r="G9" s="26"/>
      <c r="H9" s="26"/>
      <c r="I9" s="26"/>
      <c r="J9" s="26"/>
      <c r="K9" s="26"/>
    </row>
    <row r="10" spans="2:27" ht="12.75" customHeight="1" x14ac:dyDescent="0.15">
      <c r="B10" s="5" t="s">
        <v>10</v>
      </c>
      <c r="C10" s="18"/>
      <c r="D10" s="18"/>
      <c r="G10" s="7"/>
      <c r="H10" s="7"/>
      <c r="I10" s="7"/>
      <c r="J10" s="7"/>
      <c r="K10" s="7"/>
    </row>
    <row r="11" spans="2:27" ht="12.75" customHeight="1" x14ac:dyDescent="0.15">
      <c r="B11" s="5" t="s">
        <v>11</v>
      </c>
      <c r="C11" s="3" t="s">
        <v>12</v>
      </c>
      <c r="G11" s="7"/>
      <c r="H11" s="7"/>
      <c r="I11" s="7"/>
      <c r="J11" s="7"/>
      <c r="K11" s="7"/>
    </row>
    <row r="12" spans="2:27" ht="12.75" customHeight="1" x14ac:dyDescent="0.15">
      <c r="B12" s="5" t="s">
        <v>13</v>
      </c>
      <c r="C12" s="3" t="s">
        <v>14</v>
      </c>
      <c r="G12" s="7"/>
      <c r="H12" s="7"/>
      <c r="I12" s="7"/>
      <c r="J12" s="7"/>
      <c r="K12" s="7"/>
    </row>
    <row r="13" spans="2:27" x14ac:dyDescent="0.15">
      <c r="B13" s="5"/>
    </row>
    <row r="14" spans="2:27" ht="16" x14ac:dyDescent="0.2">
      <c r="B14" s="14" t="s">
        <v>15</v>
      </c>
      <c r="D14" s="27"/>
      <c r="E14" s="27"/>
      <c r="F14" s="27"/>
      <c r="G14" s="27"/>
      <c r="H14" s="27"/>
      <c r="I14" s="27"/>
      <c r="J14" s="27"/>
      <c r="K14" s="27"/>
      <c r="L14" s="27"/>
      <c r="M14" s="27"/>
      <c r="N14" s="27"/>
      <c r="O14" s="27"/>
      <c r="P14" s="27"/>
      <c r="Q14" s="27"/>
      <c r="R14" s="27"/>
      <c r="S14" s="27"/>
      <c r="T14" s="27"/>
      <c r="U14" s="27"/>
      <c r="V14" s="27"/>
      <c r="W14" s="27"/>
      <c r="X14" s="27"/>
      <c r="Y14" s="27"/>
      <c r="Z14" s="27"/>
      <c r="AA14" s="27"/>
    </row>
    <row r="15" spans="2:27" ht="30" customHeight="1" x14ac:dyDescent="0.2">
      <c r="B15" s="14"/>
      <c r="C15" s="19"/>
      <c r="D15" s="184" t="s">
        <v>16</v>
      </c>
      <c r="E15" s="185"/>
      <c r="F15" s="185"/>
      <c r="G15" s="186"/>
      <c r="H15" s="183" t="s">
        <v>17</v>
      </c>
      <c r="I15" s="183"/>
      <c r="J15" s="183"/>
      <c r="K15" s="183"/>
      <c r="L15" s="183" t="s">
        <v>18</v>
      </c>
      <c r="M15" s="183"/>
      <c r="N15" s="183"/>
      <c r="O15" s="183"/>
      <c r="P15" s="187" t="s">
        <v>19</v>
      </c>
      <c r="Q15" s="188"/>
      <c r="R15" s="188"/>
      <c r="S15" s="189"/>
      <c r="T15" s="183" t="s">
        <v>20</v>
      </c>
      <c r="U15" s="183"/>
      <c r="V15" s="183"/>
      <c r="W15" s="183"/>
      <c r="X15" s="183"/>
      <c r="Y15" s="183"/>
      <c r="Z15" s="183"/>
      <c r="AA15" s="183"/>
    </row>
    <row r="16" spans="2:27" s="25" customFormat="1" ht="65.25" customHeight="1" x14ac:dyDescent="0.15">
      <c r="B16" s="23" t="s">
        <v>21</v>
      </c>
      <c r="C16" s="23" t="s">
        <v>22</v>
      </c>
      <c r="D16" s="24" t="s">
        <v>23</v>
      </c>
      <c r="E16" s="24" t="s">
        <v>24</v>
      </c>
      <c r="F16" s="24" t="s">
        <v>25</v>
      </c>
      <c r="G16" s="24" t="s">
        <v>26</v>
      </c>
      <c r="H16" s="24" t="s">
        <v>23</v>
      </c>
      <c r="I16" s="24" t="s">
        <v>24</v>
      </c>
      <c r="J16" s="24" t="s">
        <v>25</v>
      </c>
      <c r="K16" s="24" t="s">
        <v>27</v>
      </c>
      <c r="L16" s="24" t="s">
        <v>23</v>
      </c>
      <c r="M16" s="24" t="s">
        <v>24</v>
      </c>
      <c r="N16" s="24" t="s">
        <v>25</v>
      </c>
      <c r="O16" s="24" t="s">
        <v>28</v>
      </c>
      <c r="P16" s="24" t="s">
        <v>29</v>
      </c>
      <c r="Q16" s="24" t="s">
        <v>30</v>
      </c>
      <c r="R16" s="24" t="s">
        <v>31</v>
      </c>
      <c r="S16" s="24" t="s">
        <v>32</v>
      </c>
      <c r="T16" s="24" t="s">
        <v>33</v>
      </c>
      <c r="U16" s="24" t="s">
        <v>34</v>
      </c>
      <c r="V16" s="24" t="s">
        <v>35</v>
      </c>
      <c r="W16" s="24" t="s">
        <v>36</v>
      </c>
      <c r="X16" s="24" t="s">
        <v>37</v>
      </c>
      <c r="Y16" s="24" t="s">
        <v>38</v>
      </c>
      <c r="Z16" s="24" t="s">
        <v>39</v>
      </c>
      <c r="AA16" s="24" t="s">
        <v>40</v>
      </c>
    </row>
    <row r="17" spans="2:28" x14ac:dyDescent="0.15">
      <c r="B17" s="1" t="s">
        <v>41</v>
      </c>
      <c r="C17" s="1" t="s">
        <v>41</v>
      </c>
      <c r="D17" s="2">
        <v>1503149</v>
      </c>
      <c r="E17" s="2">
        <v>55513</v>
      </c>
      <c r="F17" s="2">
        <v>886081</v>
      </c>
      <c r="G17" s="2">
        <v>2444743</v>
      </c>
      <c r="H17" s="2">
        <v>910567</v>
      </c>
      <c r="I17" s="2">
        <v>52395</v>
      </c>
      <c r="J17" s="2">
        <v>855030</v>
      </c>
      <c r="K17" s="2">
        <v>1817992</v>
      </c>
      <c r="L17" s="2">
        <v>592582</v>
      </c>
      <c r="M17" s="2">
        <v>3118</v>
      </c>
      <c r="N17" s="2">
        <v>31051</v>
      </c>
      <c r="O17" s="2">
        <v>626751</v>
      </c>
      <c r="P17" s="61">
        <v>0.7436331753480836</v>
      </c>
      <c r="Q17" s="61">
        <v>0.6057729473259138</v>
      </c>
      <c r="R17" s="61">
        <v>0.94383297605966165</v>
      </c>
      <c r="S17" s="61">
        <v>0.96495692831693713</v>
      </c>
      <c r="T17" s="2">
        <v>394675</v>
      </c>
      <c r="U17" s="2">
        <v>1534</v>
      </c>
      <c r="V17" s="2">
        <v>5107</v>
      </c>
      <c r="W17" s="2">
        <v>401316</v>
      </c>
      <c r="X17" s="2">
        <v>134842</v>
      </c>
      <c r="Y17" s="2">
        <v>536158</v>
      </c>
      <c r="Z17" s="2">
        <v>129199</v>
      </c>
      <c r="AA17" s="2">
        <v>50582</v>
      </c>
    </row>
    <row r="18" spans="2:28" ht="6.75" customHeight="1" x14ac:dyDescent="0.15">
      <c r="C18" s="11"/>
      <c r="D18" s="11"/>
      <c r="E18" s="11"/>
      <c r="F18" s="11"/>
      <c r="G18" s="11"/>
      <c r="H18" s="11"/>
      <c r="I18" s="11"/>
      <c r="J18" s="11"/>
      <c r="K18" s="11"/>
      <c r="L18" s="11"/>
      <c r="M18" s="11"/>
      <c r="N18" s="11"/>
      <c r="O18" s="28"/>
      <c r="P18" s="11"/>
      <c r="Q18" s="11"/>
      <c r="R18" s="11"/>
      <c r="S18" s="28"/>
      <c r="T18" s="11"/>
      <c r="U18" s="11"/>
      <c r="V18" s="11"/>
      <c r="W18" s="28"/>
      <c r="X18" s="11"/>
      <c r="Y18" s="28"/>
      <c r="Z18" s="11"/>
      <c r="AA18" s="11"/>
    </row>
    <row r="19" spans="2:28" x14ac:dyDescent="0.15">
      <c r="B19" s="30" t="s">
        <v>839</v>
      </c>
      <c r="C19" s="30" t="s">
        <v>810</v>
      </c>
      <c r="D19" s="30">
        <v>37862</v>
      </c>
      <c r="E19" s="30">
        <v>0</v>
      </c>
      <c r="F19" s="30">
        <v>11080</v>
      </c>
      <c r="G19" s="30">
        <v>48942</v>
      </c>
      <c r="H19" s="30">
        <v>24290</v>
      </c>
      <c r="I19" s="30">
        <v>0</v>
      </c>
      <c r="J19" s="30">
        <v>10719</v>
      </c>
      <c r="K19" s="30">
        <v>35009</v>
      </c>
      <c r="L19" s="30">
        <v>13572</v>
      </c>
      <c r="M19" s="30">
        <v>0</v>
      </c>
      <c r="N19" s="30">
        <v>361</v>
      </c>
      <c r="O19" s="30">
        <v>13933</v>
      </c>
      <c r="P19" s="55">
        <v>0.71531608843120431</v>
      </c>
      <c r="Q19" s="55">
        <v>0.64154033067455496</v>
      </c>
      <c r="R19" s="55" t="s">
        <v>41</v>
      </c>
      <c r="S19" s="55">
        <v>0.96741877256317688</v>
      </c>
      <c r="T19" s="30">
        <v>10916</v>
      </c>
      <c r="U19" s="30">
        <v>0</v>
      </c>
      <c r="V19" s="30">
        <v>164</v>
      </c>
      <c r="W19" s="30">
        <v>11080</v>
      </c>
      <c r="X19" s="30">
        <v>1621</v>
      </c>
      <c r="Y19" s="30">
        <v>12701</v>
      </c>
      <c r="Z19" s="30">
        <v>4146</v>
      </c>
      <c r="AA19" s="30">
        <v>1699</v>
      </c>
      <c r="AB19" s="10"/>
    </row>
    <row r="20" spans="2:28" x14ac:dyDescent="0.15">
      <c r="B20" s="33" t="s">
        <v>76</v>
      </c>
      <c r="C20" s="33" t="s">
        <v>77</v>
      </c>
      <c r="D20" s="49">
        <v>45166</v>
      </c>
      <c r="E20" s="49">
        <v>0</v>
      </c>
      <c r="F20" s="49">
        <v>32469</v>
      </c>
      <c r="G20" s="49">
        <v>77635</v>
      </c>
      <c r="H20" s="49">
        <v>27622</v>
      </c>
      <c r="I20" s="49">
        <v>0</v>
      </c>
      <c r="J20" s="49">
        <v>31048</v>
      </c>
      <c r="K20" s="49">
        <v>58670</v>
      </c>
      <c r="L20" s="49">
        <v>17544</v>
      </c>
      <c r="M20" s="49">
        <v>0</v>
      </c>
      <c r="N20" s="49">
        <v>1421</v>
      </c>
      <c r="O20" s="49">
        <v>18965</v>
      </c>
      <c r="P20" s="56">
        <v>0.75571584981000839</v>
      </c>
      <c r="Q20" s="56">
        <v>0.61156622237966607</v>
      </c>
      <c r="R20" s="56" t="s">
        <v>41</v>
      </c>
      <c r="S20" s="56">
        <v>0.95623517816994674</v>
      </c>
      <c r="T20" s="49">
        <v>12448</v>
      </c>
      <c r="U20" s="49">
        <v>0</v>
      </c>
      <c r="V20" s="49">
        <v>210</v>
      </c>
      <c r="W20" s="49">
        <v>12658</v>
      </c>
      <c r="X20" s="49">
        <v>6936</v>
      </c>
      <c r="Y20" s="49">
        <v>19594</v>
      </c>
      <c r="Z20" s="49">
        <v>4518</v>
      </c>
      <c r="AA20" s="49">
        <v>2276</v>
      </c>
      <c r="AB20" s="10"/>
    </row>
    <row r="21" spans="2:28" x14ac:dyDescent="0.15">
      <c r="B21" s="33" t="s">
        <v>112</v>
      </c>
      <c r="C21" s="33" t="s">
        <v>113</v>
      </c>
      <c r="D21" s="49">
        <v>48559</v>
      </c>
      <c r="E21" s="49">
        <v>1395</v>
      </c>
      <c r="F21" s="49">
        <v>12605</v>
      </c>
      <c r="G21" s="49">
        <v>62559</v>
      </c>
      <c r="H21" s="49">
        <v>32261</v>
      </c>
      <c r="I21" s="49">
        <v>1329</v>
      </c>
      <c r="J21" s="49">
        <v>12229</v>
      </c>
      <c r="K21" s="49">
        <v>45819</v>
      </c>
      <c r="L21" s="49">
        <v>16298</v>
      </c>
      <c r="M21" s="49">
        <v>66</v>
      </c>
      <c r="N21" s="49">
        <v>376</v>
      </c>
      <c r="O21" s="49">
        <v>16740</v>
      </c>
      <c r="P21" s="56">
        <v>0.73241260250323692</v>
      </c>
      <c r="Q21" s="56">
        <v>0.66436705862970824</v>
      </c>
      <c r="R21" s="56">
        <v>0.95268817204301071</v>
      </c>
      <c r="S21" s="56">
        <v>0.9701705672352241</v>
      </c>
      <c r="T21" s="49">
        <v>13283</v>
      </c>
      <c r="U21" s="49">
        <v>0</v>
      </c>
      <c r="V21" s="49">
        <v>341</v>
      </c>
      <c r="W21" s="49">
        <v>13624</v>
      </c>
      <c r="X21" s="49">
        <v>5377</v>
      </c>
      <c r="Y21" s="49">
        <v>19001</v>
      </c>
      <c r="Z21" s="49">
        <v>4128</v>
      </c>
      <c r="AA21" s="49">
        <v>510</v>
      </c>
      <c r="AB21" s="10"/>
    </row>
    <row r="22" spans="2:28" x14ac:dyDescent="0.15">
      <c r="B22" s="33" t="s">
        <v>78</v>
      </c>
      <c r="C22" s="33" t="s">
        <v>79</v>
      </c>
      <c r="D22" s="49">
        <v>21120</v>
      </c>
      <c r="E22" s="49">
        <v>976</v>
      </c>
      <c r="F22" s="49">
        <v>6546</v>
      </c>
      <c r="G22" s="49">
        <v>28642</v>
      </c>
      <c r="H22" s="49">
        <v>11566</v>
      </c>
      <c r="I22" s="49">
        <v>976</v>
      </c>
      <c r="J22" s="49">
        <v>6412</v>
      </c>
      <c r="K22" s="49">
        <v>18954</v>
      </c>
      <c r="L22" s="49">
        <v>9554</v>
      </c>
      <c r="M22" s="49">
        <v>0</v>
      </c>
      <c r="N22" s="49">
        <v>134</v>
      </c>
      <c r="O22" s="49">
        <v>9688</v>
      </c>
      <c r="P22" s="56">
        <v>0.66175546400391039</v>
      </c>
      <c r="Q22" s="56">
        <v>0.54763257575757573</v>
      </c>
      <c r="R22" s="56">
        <v>1</v>
      </c>
      <c r="S22" s="56">
        <v>0.97952948365413994</v>
      </c>
      <c r="T22" s="49">
        <v>4627</v>
      </c>
      <c r="U22" s="49">
        <v>0</v>
      </c>
      <c r="V22" s="49">
        <v>0</v>
      </c>
      <c r="W22" s="49">
        <v>4627</v>
      </c>
      <c r="X22" s="49">
        <v>980</v>
      </c>
      <c r="Y22" s="49">
        <v>5607</v>
      </c>
      <c r="Z22" s="49">
        <v>2402</v>
      </c>
      <c r="AA22" s="49">
        <v>1197</v>
      </c>
      <c r="AB22" s="10"/>
    </row>
    <row r="23" spans="2:28" x14ac:dyDescent="0.15">
      <c r="B23" s="33" t="s">
        <v>46</v>
      </c>
      <c r="C23" s="33" t="s">
        <v>47</v>
      </c>
      <c r="D23" s="49">
        <v>39277</v>
      </c>
      <c r="E23" s="49">
        <v>407</v>
      </c>
      <c r="F23" s="49">
        <v>13556</v>
      </c>
      <c r="G23" s="49">
        <v>53240</v>
      </c>
      <c r="H23" s="49">
        <v>23340</v>
      </c>
      <c r="I23" s="49">
        <v>407</v>
      </c>
      <c r="J23" s="49">
        <v>13497</v>
      </c>
      <c r="K23" s="49">
        <v>37244</v>
      </c>
      <c r="L23" s="49">
        <v>15937</v>
      </c>
      <c r="M23" s="49">
        <v>0</v>
      </c>
      <c r="N23" s="49">
        <v>59</v>
      </c>
      <c r="O23" s="49">
        <v>15996</v>
      </c>
      <c r="P23" s="56">
        <v>0.699549211119459</v>
      </c>
      <c r="Q23" s="56">
        <v>0.59424090434605492</v>
      </c>
      <c r="R23" s="56">
        <v>1</v>
      </c>
      <c r="S23" s="56">
        <v>0.99564768368250223</v>
      </c>
      <c r="T23" s="49">
        <v>10912</v>
      </c>
      <c r="U23" s="49">
        <v>0</v>
      </c>
      <c r="V23" s="49">
        <v>0</v>
      </c>
      <c r="W23" s="49">
        <v>10912</v>
      </c>
      <c r="X23" s="49">
        <v>8759</v>
      </c>
      <c r="Y23" s="49">
        <v>19671</v>
      </c>
      <c r="Z23" s="49">
        <v>3795</v>
      </c>
      <c r="AA23" s="49">
        <v>2088</v>
      </c>
      <c r="AB23" s="10"/>
    </row>
    <row r="24" spans="2:28" x14ac:dyDescent="0.15">
      <c r="B24" s="33" t="s">
        <v>60</v>
      </c>
      <c r="C24" s="33" t="s">
        <v>61</v>
      </c>
      <c r="D24" s="49">
        <v>76594</v>
      </c>
      <c r="E24" s="49">
        <v>3327</v>
      </c>
      <c r="F24" s="49">
        <v>73483</v>
      </c>
      <c r="G24" s="49">
        <v>153404</v>
      </c>
      <c r="H24" s="49">
        <v>44504</v>
      </c>
      <c r="I24" s="49">
        <v>3183</v>
      </c>
      <c r="J24" s="49">
        <v>72354</v>
      </c>
      <c r="K24" s="49">
        <v>120041</v>
      </c>
      <c r="L24" s="49">
        <v>32090</v>
      </c>
      <c r="M24" s="49">
        <v>144</v>
      </c>
      <c r="N24" s="49">
        <v>1129</v>
      </c>
      <c r="O24" s="49">
        <v>33363</v>
      </c>
      <c r="P24" s="56">
        <v>0.78251544940158013</v>
      </c>
      <c r="Q24" s="56">
        <v>0.58103767919158156</v>
      </c>
      <c r="R24" s="56">
        <v>0.95671776375112716</v>
      </c>
      <c r="S24" s="56">
        <v>0.98463590218145691</v>
      </c>
      <c r="T24" s="49">
        <v>25489</v>
      </c>
      <c r="U24" s="49">
        <v>44</v>
      </c>
      <c r="V24" s="49">
        <v>712</v>
      </c>
      <c r="W24" s="49">
        <v>26245</v>
      </c>
      <c r="X24" s="49">
        <v>10995</v>
      </c>
      <c r="Y24" s="49">
        <v>37240</v>
      </c>
      <c r="Z24" s="49">
        <v>4613</v>
      </c>
      <c r="AA24" s="49">
        <v>354</v>
      </c>
      <c r="AB24" s="10"/>
    </row>
    <row r="25" spans="2:28" x14ac:dyDescent="0.15">
      <c r="B25" s="33" t="s">
        <v>84</v>
      </c>
      <c r="C25" s="33" t="s">
        <v>85</v>
      </c>
      <c r="D25" s="49">
        <v>29713</v>
      </c>
      <c r="E25" s="49">
        <v>0</v>
      </c>
      <c r="F25" s="49">
        <v>24894</v>
      </c>
      <c r="G25" s="49">
        <v>54607</v>
      </c>
      <c r="H25" s="49">
        <v>15841</v>
      </c>
      <c r="I25" s="49">
        <v>0</v>
      </c>
      <c r="J25" s="49">
        <v>24328</v>
      </c>
      <c r="K25" s="49">
        <v>40169</v>
      </c>
      <c r="L25" s="49">
        <v>13872</v>
      </c>
      <c r="M25" s="49">
        <v>0</v>
      </c>
      <c r="N25" s="49">
        <v>566</v>
      </c>
      <c r="O25" s="49">
        <v>14438</v>
      </c>
      <c r="P25" s="56">
        <v>0.73560166279048478</v>
      </c>
      <c r="Q25" s="56">
        <v>0.5331336452058022</v>
      </c>
      <c r="R25" s="56" t="s">
        <v>41</v>
      </c>
      <c r="S25" s="56">
        <v>0.97726359765405324</v>
      </c>
      <c r="T25" s="49">
        <v>5973</v>
      </c>
      <c r="U25" s="49">
        <v>0</v>
      </c>
      <c r="V25" s="49">
        <v>22</v>
      </c>
      <c r="W25" s="49">
        <v>5995</v>
      </c>
      <c r="X25" s="49">
        <v>2902</v>
      </c>
      <c r="Y25" s="49">
        <v>8897</v>
      </c>
      <c r="Z25" s="49">
        <v>2598</v>
      </c>
      <c r="AA25" s="49">
        <v>974</v>
      </c>
      <c r="AB25" s="10"/>
    </row>
    <row r="26" spans="2:28" x14ac:dyDescent="0.15">
      <c r="B26" s="33" t="s">
        <v>62</v>
      </c>
      <c r="C26" s="33" t="s">
        <v>63</v>
      </c>
      <c r="D26" s="49">
        <v>31228</v>
      </c>
      <c r="E26" s="49">
        <v>74</v>
      </c>
      <c r="F26" s="49">
        <v>18975</v>
      </c>
      <c r="G26" s="49">
        <v>50277</v>
      </c>
      <c r="H26" s="49">
        <v>15105</v>
      </c>
      <c r="I26" s="49">
        <v>68</v>
      </c>
      <c r="J26" s="49">
        <v>18457</v>
      </c>
      <c r="K26" s="49">
        <v>33630</v>
      </c>
      <c r="L26" s="49">
        <v>16123</v>
      </c>
      <c r="M26" s="49">
        <v>6</v>
      </c>
      <c r="N26" s="49">
        <v>518</v>
      </c>
      <c r="O26" s="49">
        <v>16647</v>
      </c>
      <c r="P26" s="56">
        <v>0.66889432543707861</v>
      </c>
      <c r="Q26" s="56">
        <v>0.48370052516971951</v>
      </c>
      <c r="R26" s="56">
        <v>0.91891891891891897</v>
      </c>
      <c r="S26" s="56">
        <v>0.97270092226613969</v>
      </c>
      <c r="T26" s="49">
        <v>7028</v>
      </c>
      <c r="U26" s="49">
        <v>0</v>
      </c>
      <c r="V26" s="49">
        <v>34</v>
      </c>
      <c r="W26" s="49">
        <v>7062</v>
      </c>
      <c r="X26" s="49">
        <v>3183</v>
      </c>
      <c r="Y26" s="49">
        <v>10245</v>
      </c>
      <c r="Z26" s="49">
        <v>3695</v>
      </c>
      <c r="AA26" s="49">
        <v>968</v>
      </c>
      <c r="AB26" s="10"/>
    </row>
    <row r="27" spans="2:28" x14ac:dyDescent="0.15">
      <c r="B27" s="33" t="s">
        <v>90</v>
      </c>
      <c r="C27" s="33" t="s">
        <v>91</v>
      </c>
      <c r="D27" s="49">
        <v>17584</v>
      </c>
      <c r="E27" s="49">
        <v>0</v>
      </c>
      <c r="F27" s="49">
        <v>14647</v>
      </c>
      <c r="G27" s="49">
        <v>32231</v>
      </c>
      <c r="H27" s="49">
        <v>11191</v>
      </c>
      <c r="I27" s="49">
        <v>0</v>
      </c>
      <c r="J27" s="49">
        <v>13924</v>
      </c>
      <c r="K27" s="49">
        <v>25115</v>
      </c>
      <c r="L27" s="49">
        <v>6393</v>
      </c>
      <c r="M27" s="49">
        <v>0</v>
      </c>
      <c r="N27" s="49">
        <v>723</v>
      </c>
      <c r="O27" s="49">
        <v>7116</v>
      </c>
      <c r="P27" s="56">
        <v>0.77921876454345196</v>
      </c>
      <c r="Q27" s="56">
        <v>0.63643084622383983</v>
      </c>
      <c r="R27" s="56" t="s">
        <v>41</v>
      </c>
      <c r="S27" s="56">
        <v>0.95063835597733326</v>
      </c>
      <c r="T27" s="49">
        <v>4773</v>
      </c>
      <c r="U27" s="49">
        <v>0</v>
      </c>
      <c r="V27" s="49">
        <v>0</v>
      </c>
      <c r="W27" s="49">
        <v>4773</v>
      </c>
      <c r="X27" s="49">
        <v>1212</v>
      </c>
      <c r="Y27" s="49">
        <v>5985</v>
      </c>
      <c r="Z27" s="49">
        <v>1975</v>
      </c>
      <c r="AA27" s="49">
        <v>1347</v>
      </c>
      <c r="AB27" s="10"/>
    </row>
    <row r="28" spans="2:28" x14ac:dyDescent="0.15">
      <c r="B28" s="33" t="s">
        <v>88</v>
      </c>
      <c r="C28" s="33" t="s">
        <v>89</v>
      </c>
      <c r="D28" s="49">
        <v>24152</v>
      </c>
      <c r="E28" s="49">
        <v>2198</v>
      </c>
      <c r="F28" s="49">
        <v>16850</v>
      </c>
      <c r="G28" s="49">
        <v>43200</v>
      </c>
      <c r="H28" s="49">
        <v>14347</v>
      </c>
      <c r="I28" s="49">
        <v>2012</v>
      </c>
      <c r="J28" s="49">
        <v>16797</v>
      </c>
      <c r="K28" s="49">
        <v>33156</v>
      </c>
      <c r="L28" s="49">
        <v>9805</v>
      </c>
      <c r="M28" s="49">
        <v>186</v>
      </c>
      <c r="N28" s="49">
        <v>53</v>
      </c>
      <c r="O28" s="49">
        <v>10044</v>
      </c>
      <c r="P28" s="56">
        <v>0.76749999999999996</v>
      </c>
      <c r="Q28" s="56">
        <v>0.59402947996025179</v>
      </c>
      <c r="R28" s="56">
        <v>0.91537761601455869</v>
      </c>
      <c r="S28" s="56">
        <v>0.99685459940652821</v>
      </c>
      <c r="T28" s="49">
        <v>6766</v>
      </c>
      <c r="U28" s="49">
        <v>5</v>
      </c>
      <c r="V28" s="49">
        <v>0</v>
      </c>
      <c r="W28" s="49">
        <v>6771</v>
      </c>
      <c r="X28" s="49">
        <v>3841</v>
      </c>
      <c r="Y28" s="49">
        <v>10612</v>
      </c>
      <c r="Z28" s="49">
        <v>1639</v>
      </c>
      <c r="AA28" s="49">
        <v>499</v>
      </c>
      <c r="AB28" s="10"/>
    </row>
    <row r="29" spans="2:28" x14ac:dyDescent="0.15">
      <c r="B29" s="33" t="s">
        <v>104</v>
      </c>
      <c r="C29" s="33" t="s">
        <v>105</v>
      </c>
      <c r="D29" s="49">
        <v>43742</v>
      </c>
      <c r="E29" s="49">
        <v>0</v>
      </c>
      <c r="F29" s="49">
        <v>39380</v>
      </c>
      <c r="G29" s="49">
        <v>83122</v>
      </c>
      <c r="H29" s="49">
        <v>22411</v>
      </c>
      <c r="I29" s="49">
        <v>0</v>
      </c>
      <c r="J29" s="49">
        <v>38021</v>
      </c>
      <c r="K29" s="49">
        <v>60432</v>
      </c>
      <c r="L29" s="49">
        <v>21331</v>
      </c>
      <c r="M29" s="49">
        <v>0</v>
      </c>
      <c r="N29" s="49">
        <v>1359</v>
      </c>
      <c r="O29" s="49">
        <v>22690</v>
      </c>
      <c r="P29" s="56">
        <v>0.72702774235461132</v>
      </c>
      <c r="Q29" s="56">
        <v>0.51234511453522935</v>
      </c>
      <c r="R29" s="56" t="s">
        <v>41</v>
      </c>
      <c r="S29" s="56">
        <v>0.96549009649568307</v>
      </c>
      <c r="T29" s="49">
        <v>10277</v>
      </c>
      <c r="U29" s="49">
        <v>0</v>
      </c>
      <c r="V29" s="49">
        <v>0</v>
      </c>
      <c r="W29" s="49">
        <v>10277</v>
      </c>
      <c r="X29" s="49">
        <v>1243</v>
      </c>
      <c r="Y29" s="49">
        <v>11520</v>
      </c>
      <c r="Z29" s="49">
        <v>4482</v>
      </c>
      <c r="AA29" s="49">
        <v>1478</v>
      </c>
      <c r="AB29" s="10"/>
    </row>
    <row r="30" spans="2:28" x14ac:dyDescent="0.15">
      <c r="B30" s="33" t="s">
        <v>86</v>
      </c>
      <c r="C30" s="33" t="s">
        <v>87</v>
      </c>
      <c r="D30" s="49">
        <v>58343</v>
      </c>
      <c r="E30" s="49">
        <v>0</v>
      </c>
      <c r="F30" s="49">
        <v>43108</v>
      </c>
      <c r="G30" s="49">
        <v>101451</v>
      </c>
      <c r="H30" s="49">
        <v>39373</v>
      </c>
      <c r="I30" s="49">
        <v>0</v>
      </c>
      <c r="J30" s="49">
        <v>41084</v>
      </c>
      <c r="K30" s="49">
        <v>80457</v>
      </c>
      <c r="L30" s="49">
        <v>18970</v>
      </c>
      <c r="M30" s="49">
        <v>0</v>
      </c>
      <c r="N30" s="49">
        <v>2024</v>
      </c>
      <c r="O30" s="49">
        <v>20994</v>
      </c>
      <c r="P30" s="56">
        <v>0.79306266079190935</v>
      </c>
      <c r="Q30" s="56">
        <v>0.67485388135680369</v>
      </c>
      <c r="R30" s="56" t="s">
        <v>41</v>
      </c>
      <c r="S30" s="56">
        <v>0.95304815811450316</v>
      </c>
      <c r="T30" s="49">
        <v>10889</v>
      </c>
      <c r="U30" s="49">
        <v>0</v>
      </c>
      <c r="V30" s="49">
        <v>528</v>
      </c>
      <c r="W30" s="49">
        <v>11417</v>
      </c>
      <c r="X30" s="49">
        <v>2034</v>
      </c>
      <c r="Y30" s="49">
        <v>13451</v>
      </c>
      <c r="Z30" s="49">
        <v>4876</v>
      </c>
      <c r="AA30" s="49">
        <v>2668</v>
      </c>
      <c r="AB30" s="10"/>
    </row>
    <row r="31" spans="2:28" x14ac:dyDescent="0.15">
      <c r="B31" s="33" t="s">
        <v>66</v>
      </c>
      <c r="C31" s="33" t="s">
        <v>67</v>
      </c>
      <c r="D31" s="49">
        <v>53046</v>
      </c>
      <c r="E31" s="49">
        <v>3366</v>
      </c>
      <c r="F31" s="49">
        <v>41981</v>
      </c>
      <c r="G31" s="49">
        <v>98393</v>
      </c>
      <c r="H31" s="49">
        <v>34628</v>
      </c>
      <c r="I31" s="49">
        <v>3106</v>
      </c>
      <c r="J31" s="49">
        <v>39921</v>
      </c>
      <c r="K31" s="49">
        <v>77655</v>
      </c>
      <c r="L31" s="49">
        <v>18418</v>
      </c>
      <c r="M31" s="49">
        <v>260</v>
      </c>
      <c r="N31" s="49">
        <v>2060</v>
      </c>
      <c r="O31" s="49">
        <v>20738</v>
      </c>
      <c r="P31" s="56">
        <v>0.78923297389041902</v>
      </c>
      <c r="Q31" s="56">
        <v>0.65279191644987367</v>
      </c>
      <c r="R31" s="56">
        <v>0.922756981580511</v>
      </c>
      <c r="S31" s="56">
        <v>0.95093018270169838</v>
      </c>
      <c r="T31" s="49">
        <v>9346</v>
      </c>
      <c r="U31" s="49">
        <v>0</v>
      </c>
      <c r="V31" s="49">
        <v>24</v>
      </c>
      <c r="W31" s="49">
        <v>9370</v>
      </c>
      <c r="X31" s="49">
        <v>4134</v>
      </c>
      <c r="Y31" s="49">
        <v>13504</v>
      </c>
      <c r="Z31" s="49">
        <v>3429</v>
      </c>
      <c r="AA31" s="49">
        <v>1801</v>
      </c>
      <c r="AB31" s="10"/>
    </row>
    <row r="32" spans="2:28" x14ac:dyDescent="0.15">
      <c r="B32" s="33" t="s">
        <v>114</v>
      </c>
      <c r="C32" s="33" t="s">
        <v>115</v>
      </c>
      <c r="D32" s="49">
        <v>15769</v>
      </c>
      <c r="E32" s="49">
        <v>540</v>
      </c>
      <c r="F32" s="49">
        <v>9723</v>
      </c>
      <c r="G32" s="49">
        <v>26032</v>
      </c>
      <c r="H32" s="49">
        <v>7131</v>
      </c>
      <c r="I32" s="49">
        <v>540</v>
      </c>
      <c r="J32" s="49">
        <v>9520</v>
      </c>
      <c r="K32" s="49">
        <v>17191</v>
      </c>
      <c r="L32" s="49">
        <v>8638</v>
      </c>
      <c r="M32" s="49">
        <v>0</v>
      </c>
      <c r="N32" s="49">
        <v>203</v>
      </c>
      <c r="O32" s="49">
        <v>8841</v>
      </c>
      <c r="P32" s="56">
        <v>0.66037953288260598</v>
      </c>
      <c r="Q32" s="56">
        <v>0.45221637389815461</v>
      </c>
      <c r="R32" s="56">
        <v>1</v>
      </c>
      <c r="S32" s="56">
        <v>0.97912167026637864</v>
      </c>
      <c r="T32" s="49">
        <v>4724</v>
      </c>
      <c r="U32" s="49">
        <v>0</v>
      </c>
      <c r="V32" s="49">
        <v>0</v>
      </c>
      <c r="W32" s="49">
        <v>4724</v>
      </c>
      <c r="X32" s="49">
        <v>1167</v>
      </c>
      <c r="Y32" s="49">
        <v>5891</v>
      </c>
      <c r="Z32" s="49">
        <v>1772</v>
      </c>
      <c r="AA32" s="49">
        <v>640</v>
      </c>
      <c r="AB32" s="10"/>
    </row>
    <row r="33" spans="2:28" x14ac:dyDescent="0.15">
      <c r="B33" s="33" t="s">
        <v>106</v>
      </c>
      <c r="C33" s="33" t="s">
        <v>107</v>
      </c>
      <c r="D33" s="49">
        <v>11747</v>
      </c>
      <c r="E33" s="49">
        <v>0</v>
      </c>
      <c r="F33" s="49">
        <v>6204</v>
      </c>
      <c r="G33" s="49">
        <v>17951</v>
      </c>
      <c r="H33" s="49">
        <v>5069</v>
      </c>
      <c r="I33" s="49">
        <v>0</v>
      </c>
      <c r="J33" s="49">
        <v>5843</v>
      </c>
      <c r="K33" s="49">
        <v>10912</v>
      </c>
      <c r="L33" s="49">
        <v>6678</v>
      </c>
      <c r="M33" s="49">
        <v>0</v>
      </c>
      <c r="N33" s="49">
        <v>361</v>
      </c>
      <c r="O33" s="49">
        <v>7039</v>
      </c>
      <c r="P33" s="56">
        <v>0.60787699849590549</v>
      </c>
      <c r="Q33" s="56">
        <v>0.43151442921597005</v>
      </c>
      <c r="R33" s="56" t="s">
        <v>41</v>
      </c>
      <c r="S33" s="56">
        <v>0.94181173436492582</v>
      </c>
      <c r="T33" s="49">
        <v>3708</v>
      </c>
      <c r="U33" s="49">
        <v>0</v>
      </c>
      <c r="V33" s="49">
        <v>209</v>
      </c>
      <c r="W33" s="49">
        <v>3917</v>
      </c>
      <c r="X33" s="49">
        <v>2134</v>
      </c>
      <c r="Y33" s="49">
        <v>6051</v>
      </c>
      <c r="Z33" s="49">
        <v>1912</v>
      </c>
      <c r="AA33" s="49">
        <v>1373</v>
      </c>
      <c r="AB33" s="10"/>
    </row>
    <row r="34" spans="2:28" x14ac:dyDescent="0.15">
      <c r="B34" s="33" t="s">
        <v>72</v>
      </c>
      <c r="C34" s="33" t="s">
        <v>73</v>
      </c>
      <c r="D34" s="49">
        <v>92773</v>
      </c>
      <c r="E34" s="49">
        <v>3914</v>
      </c>
      <c r="F34" s="49">
        <v>36006</v>
      </c>
      <c r="G34" s="49">
        <v>132693</v>
      </c>
      <c r="H34" s="49">
        <v>53232</v>
      </c>
      <c r="I34" s="49">
        <v>3566</v>
      </c>
      <c r="J34" s="49">
        <v>34752</v>
      </c>
      <c r="K34" s="49">
        <v>91550</v>
      </c>
      <c r="L34" s="49">
        <v>39541</v>
      </c>
      <c r="M34" s="49">
        <v>348</v>
      </c>
      <c r="N34" s="49">
        <v>1254</v>
      </c>
      <c r="O34" s="49">
        <v>41143</v>
      </c>
      <c r="P34" s="56">
        <v>0.68993842930674565</v>
      </c>
      <c r="Q34" s="56">
        <v>0.57378763217746542</v>
      </c>
      <c r="R34" s="56">
        <v>0.91108840061318341</v>
      </c>
      <c r="S34" s="56">
        <v>0.96517247125479089</v>
      </c>
      <c r="T34" s="49">
        <v>22436</v>
      </c>
      <c r="U34" s="49">
        <v>110</v>
      </c>
      <c r="V34" s="49">
        <v>760</v>
      </c>
      <c r="W34" s="49">
        <v>23306</v>
      </c>
      <c r="X34" s="49">
        <v>6451</v>
      </c>
      <c r="Y34" s="49">
        <v>29757</v>
      </c>
      <c r="Z34" s="49">
        <v>9120</v>
      </c>
      <c r="AA34" s="49">
        <v>2911</v>
      </c>
      <c r="AB34" s="10"/>
    </row>
    <row r="35" spans="2:28" x14ac:dyDescent="0.15">
      <c r="B35" s="33" t="s">
        <v>82</v>
      </c>
      <c r="C35" s="33" t="s">
        <v>83</v>
      </c>
      <c r="D35" s="49">
        <v>39069</v>
      </c>
      <c r="E35" s="49">
        <v>34</v>
      </c>
      <c r="F35" s="49">
        <v>28840</v>
      </c>
      <c r="G35" s="49">
        <v>67943</v>
      </c>
      <c r="H35" s="49">
        <v>19451</v>
      </c>
      <c r="I35" s="49">
        <v>34</v>
      </c>
      <c r="J35" s="49">
        <v>26842</v>
      </c>
      <c r="K35" s="49">
        <v>46327</v>
      </c>
      <c r="L35" s="49">
        <v>19618</v>
      </c>
      <c r="M35" s="49">
        <v>0</v>
      </c>
      <c r="N35" s="49">
        <v>1998</v>
      </c>
      <c r="O35" s="49">
        <v>21616</v>
      </c>
      <c r="P35" s="56">
        <v>0.6818509633074783</v>
      </c>
      <c r="Q35" s="56">
        <v>0.49786275563746191</v>
      </c>
      <c r="R35" s="56">
        <v>1</v>
      </c>
      <c r="S35" s="56">
        <v>0.93072122052704576</v>
      </c>
      <c r="T35" s="49">
        <v>13829</v>
      </c>
      <c r="U35" s="49">
        <v>0</v>
      </c>
      <c r="V35" s="49">
        <v>0</v>
      </c>
      <c r="W35" s="49">
        <v>13829</v>
      </c>
      <c r="X35" s="49">
        <v>3427</v>
      </c>
      <c r="Y35" s="49">
        <v>17256</v>
      </c>
      <c r="Z35" s="49">
        <v>3873</v>
      </c>
      <c r="AA35" s="49">
        <v>1685</v>
      </c>
      <c r="AB35" s="10"/>
    </row>
    <row r="36" spans="2:28" x14ac:dyDescent="0.15">
      <c r="B36" s="33" t="s">
        <v>42</v>
      </c>
      <c r="C36" s="33" t="s">
        <v>43</v>
      </c>
      <c r="D36" s="49">
        <v>22499</v>
      </c>
      <c r="E36" s="49">
        <v>339</v>
      </c>
      <c r="F36" s="49">
        <v>11521</v>
      </c>
      <c r="G36" s="49">
        <v>34359</v>
      </c>
      <c r="H36" s="49">
        <v>12191</v>
      </c>
      <c r="I36" s="49">
        <v>339</v>
      </c>
      <c r="J36" s="49">
        <v>10840</v>
      </c>
      <c r="K36" s="49">
        <v>23370</v>
      </c>
      <c r="L36" s="49">
        <v>10308</v>
      </c>
      <c r="M36" s="49">
        <v>0</v>
      </c>
      <c r="N36" s="49">
        <v>681</v>
      </c>
      <c r="O36" s="49">
        <v>10989</v>
      </c>
      <c r="P36" s="56">
        <v>0.68017113420064612</v>
      </c>
      <c r="Q36" s="56">
        <v>0.54184630428019021</v>
      </c>
      <c r="R36" s="56">
        <v>1</v>
      </c>
      <c r="S36" s="56">
        <v>0.9408905476955125</v>
      </c>
      <c r="T36" s="49">
        <v>6801</v>
      </c>
      <c r="U36" s="49">
        <v>0</v>
      </c>
      <c r="V36" s="49">
        <v>0</v>
      </c>
      <c r="W36" s="49">
        <v>6801</v>
      </c>
      <c r="X36" s="49">
        <v>4208</v>
      </c>
      <c r="Y36" s="49">
        <v>11009</v>
      </c>
      <c r="Z36" s="49">
        <v>2922</v>
      </c>
      <c r="AA36" s="49">
        <v>851</v>
      </c>
      <c r="AB36" s="10"/>
    </row>
    <row r="37" spans="2:28" x14ac:dyDescent="0.15">
      <c r="B37" s="33" t="s">
        <v>100</v>
      </c>
      <c r="C37" s="33" t="s">
        <v>101</v>
      </c>
      <c r="D37" s="49">
        <v>20639</v>
      </c>
      <c r="E37" s="49">
        <v>654</v>
      </c>
      <c r="F37" s="49">
        <v>12964</v>
      </c>
      <c r="G37" s="49">
        <v>34257</v>
      </c>
      <c r="H37" s="49">
        <v>12037</v>
      </c>
      <c r="I37" s="49">
        <v>629</v>
      </c>
      <c r="J37" s="49">
        <v>12863</v>
      </c>
      <c r="K37" s="49">
        <v>25529</v>
      </c>
      <c r="L37" s="49">
        <v>8602</v>
      </c>
      <c r="M37" s="49">
        <v>25</v>
      </c>
      <c r="N37" s="49">
        <v>101</v>
      </c>
      <c r="O37" s="49">
        <v>8728</v>
      </c>
      <c r="P37" s="56">
        <v>0.74521995504568406</v>
      </c>
      <c r="Q37" s="56">
        <v>0.58321624109695236</v>
      </c>
      <c r="R37" s="56">
        <v>0.96177370030581044</v>
      </c>
      <c r="S37" s="56">
        <v>0.99220919469299595</v>
      </c>
      <c r="T37" s="49">
        <v>4376</v>
      </c>
      <c r="U37" s="49">
        <v>0</v>
      </c>
      <c r="V37" s="49">
        <v>0</v>
      </c>
      <c r="W37" s="49">
        <v>4376</v>
      </c>
      <c r="X37" s="49">
        <v>559</v>
      </c>
      <c r="Y37" s="49">
        <v>4935</v>
      </c>
      <c r="Z37" s="49">
        <v>2563</v>
      </c>
      <c r="AA37" s="49">
        <v>1564</v>
      </c>
      <c r="AB37" s="10"/>
    </row>
    <row r="38" spans="2:28" x14ac:dyDescent="0.15">
      <c r="B38" s="33" t="s">
        <v>70</v>
      </c>
      <c r="C38" s="33" t="s">
        <v>71</v>
      </c>
      <c r="D38" s="49">
        <v>14773</v>
      </c>
      <c r="E38" s="49">
        <v>0</v>
      </c>
      <c r="F38" s="49">
        <v>9047</v>
      </c>
      <c r="G38" s="49">
        <v>23820</v>
      </c>
      <c r="H38" s="49">
        <v>9134</v>
      </c>
      <c r="I38" s="49">
        <v>0</v>
      </c>
      <c r="J38" s="49">
        <v>8722</v>
      </c>
      <c r="K38" s="49">
        <v>17856</v>
      </c>
      <c r="L38" s="49">
        <v>5639</v>
      </c>
      <c r="M38" s="49">
        <v>0</v>
      </c>
      <c r="N38" s="49">
        <v>325</v>
      </c>
      <c r="O38" s="49">
        <v>5964</v>
      </c>
      <c r="P38" s="56">
        <v>0.74962216624685141</v>
      </c>
      <c r="Q38" s="56">
        <v>0.61829012387463611</v>
      </c>
      <c r="R38" s="56" t="s">
        <v>41</v>
      </c>
      <c r="S38" s="56">
        <v>0.96407648944401458</v>
      </c>
      <c r="T38" s="49">
        <v>2579</v>
      </c>
      <c r="U38" s="49">
        <v>0</v>
      </c>
      <c r="V38" s="49">
        <v>0</v>
      </c>
      <c r="W38" s="49">
        <v>2579</v>
      </c>
      <c r="X38" s="49">
        <v>2907</v>
      </c>
      <c r="Y38" s="49">
        <v>5486</v>
      </c>
      <c r="Z38" s="49">
        <v>808</v>
      </c>
      <c r="AA38" s="49">
        <v>454</v>
      </c>
      <c r="AB38" s="10"/>
    </row>
    <row r="39" spans="2:28" x14ac:dyDescent="0.15">
      <c r="B39" s="33" t="s">
        <v>74</v>
      </c>
      <c r="C39" s="33" t="s">
        <v>75</v>
      </c>
      <c r="D39" s="49">
        <v>40638</v>
      </c>
      <c r="E39" s="49">
        <v>2670</v>
      </c>
      <c r="F39" s="49">
        <v>28419</v>
      </c>
      <c r="G39" s="49">
        <v>71727</v>
      </c>
      <c r="H39" s="49">
        <v>24750</v>
      </c>
      <c r="I39" s="49">
        <v>2631</v>
      </c>
      <c r="J39" s="49">
        <v>27307</v>
      </c>
      <c r="K39" s="49">
        <v>54688</v>
      </c>
      <c r="L39" s="49">
        <v>15888</v>
      </c>
      <c r="M39" s="49">
        <v>39</v>
      </c>
      <c r="N39" s="49">
        <v>1112</v>
      </c>
      <c r="O39" s="49">
        <v>17039</v>
      </c>
      <c r="P39" s="56">
        <v>0.76244649852914526</v>
      </c>
      <c r="Q39" s="56">
        <v>0.60903587774988932</v>
      </c>
      <c r="R39" s="56">
        <v>0.98539325842696635</v>
      </c>
      <c r="S39" s="56">
        <v>0.96087124810865965</v>
      </c>
      <c r="T39" s="49">
        <v>11993</v>
      </c>
      <c r="U39" s="49">
        <v>11</v>
      </c>
      <c r="V39" s="49">
        <v>23</v>
      </c>
      <c r="W39" s="49">
        <v>12027</v>
      </c>
      <c r="X39" s="49">
        <v>5444</v>
      </c>
      <c r="Y39" s="49">
        <v>17471</v>
      </c>
      <c r="Z39" s="49">
        <v>2929</v>
      </c>
      <c r="AA39" s="49">
        <v>1337</v>
      </c>
      <c r="AB39" s="10"/>
    </row>
    <row r="40" spans="2:28" x14ac:dyDescent="0.15">
      <c r="B40" s="33" t="s">
        <v>108</v>
      </c>
      <c r="C40" s="33" t="s">
        <v>109</v>
      </c>
      <c r="D40" s="49">
        <v>12302</v>
      </c>
      <c r="E40" s="49">
        <v>0</v>
      </c>
      <c r="F40" s="49">
        <v>9553</v>
      </c>
      <c r="G40" s="49">
        <v>21855</v>
      </c>
      <c r="H40" s="49">
        <v>6447</v>
      </c>
      <c r="I40" s="49">
        <v>0</v>
      </c>
      <c r="J40" s="49">
        <v>9229</v>
      </c>
      <c r="K40" s="49">
        <v>15676</v>
      </c>
      <c r="L40" s="49">
        <v>5855</v>
      </c>
      <c r="M40" s="49">
        <v>0</v>
      </c>
      <c r="N40" s="49">
        <v>324</v>
      </c>
      <c r="O40" s="49">
        <v>6179</v>
      </c>
      <c r="P40" s="56">
        <v>0.71727293525509039</v>
      </c>
      <c r="Q40" s="56">
        <v>0.52406112827182572</v>
      </c>
      <c r="R40" s="56" t="s">
        <v>41</v>
      </c>
      <c r="S40" s="56">
        <v>0.96608395268502045</v>
      </c>
      <c r="T40" s="49">
        <v>3121</v>
      </c>
      <c r="U40" s="49">
        <v>0</v>
      </c>
      <c r="V40" s="49">
        <v>0</v>
      </c>
      <c r="W40" s="49">
        <v>3121</v>
      </c>
      <c r="X40" s="49">
        <v>1809</v>
      </c>
      <c r="Y40" s="49">
        <v>4930</v>
      </c>
      <c r="Z40" s="49">
        <v>639</v>
      </c>
      <c r="AA40" s="49">
        <v>86</v>
      </c>
      <c r="AB40" s="10"/>
    </row>
    <row r="41" spans="2:28" x14ac:dyDescent="0.15">
      <c r="B41" s="33" t="s">
        <v>102</v>
      </c>
      <c r="C41" s="33" t="s">
        <v>103</v>
      </c>
      <c r="D41" s="49">
        <v>24921</v>
      </c>
      <c r="E41" s="49">
        <v>2016</v>
      </c>
      <c r="F41" s="49">
        <v>18044</v>
      </c>
      <c r="G41" s="49">
        <v>44981</v>
      </c>
      <c r="H41" s="49">
        <v>13818</v>
      </c>
      <c r="I41" s="49">
        <v>1933</v>
      </c>
      <c r="J41" s="49">
        <v>15439</v>
      </c>
      <c r="K41" s="49">
        <v>31190</v>
      </c>
      <c r="L41" s="49">
        <v>11103</v>
      </c>
      <c r="M41" s="49">
        <v>83</v>
      </c>
      <c r="N41" s="49">
        <v>2605</v>
      </c>
      <c r="O41" s="49">
        <v>13791</v>
      </c>
      <c r="P41" s="56">
        <v>0.6934038816389142</v>
      </c>
      <c r="Q41" s="56">
        <v>0.55447213193692069</v>
      </c>
      <c r="R41" s="56">
        <v>0.95882936507936511</v>
      </c>
      <c r="S41" s="56">
        <v>0.85563068055863445</v>
      </c>
      <c r="T41" s="49">
        <v>7619</v>
      </c>
      <c r="U41" s="49">
        <v>0</v>
      </c>
      <c r="V41" s="49">
        <v>1292</v>
      </c>
      <c r="W41" s="49">
        <v>8911</v>
      </c>
      <c r="X41" s="49">
        <v>4341</v>
      </c>
      <c r="Y41" s="49">
        <v>13252</v>
      </c>
      <c r="Z41" s="49">
        <v>1886</v>
      </c>
      <c r="AA41" s="49">
        <v>1158</v>
      </c>
      <c r="AB41" s="10"/>
    </row>
    <row r="42" spans="2:28" x14ac:dyDescent="0.15">
      <c r="B42" s="33" t="s">
        <v>56</v>
      </c>
      <c r="C42" s="33" t="s">
        <v>57</v>
      </c>
      <c r="D42" s="49">
        <v>7435</v>
      </c>
      <c r="E42" s="49">
        <v>0</v>
      </c>
      <c r="F42" s="49">
        <v>12254</v>
      </c>
      <c r="G42" s="49">
        <v>19689</v>
      </c>
      <c r="H42" s="49">
        <v>3507</v>
      </c>
      <c r="I42" s="49">
        <v>0</v>
      </c>
      <c r="J42" s="49">
        <v>11352</v>
      </c>
      <c r="K42" s="49">
        <v>14859</v>
      </c>
      <c r="L42" s="49">
        <v>3928</v>
      </c>
      <c r="M42" s="49">
        <v>0</v>
      </c>
      <c r="N42" s="49">
        <v>902</v>
      </c>
      <c r="O42" s="49">
        <v>4830</v>
      </c>
      <c r="P42" s="56">
        <v>0.75468535730610997</v>
      </c>
      <c r="Q42" s="56">
        <v>0.47168796234028243</v>
      </c>
      <c r="R42" s="56" t="s">
        <v>41</v>
      </c>
      <c r="S42" s="56">
        <v>0.92639138240574503</v>
      </c>
      <c r="T42" s="49">
        <v>2487</v>
      </c>
      <c r="U42" s="49">
        <v>0</v>
      </c>
      <c r="V42" s="49">
        <v>59</v>
      </c>
      <c r="W42" s="49">
        <v>2546</v>
      </c>
      <c r="X42" s="49">
        <v>1459</v>
      </c>
      <c r="Y42" s="49">
        <v>4005</v>
      </c>
      <c r="Z42" s="49">
        <v>944</v>
      </c>
      <c r="AA42" s="49">
        <v>497</v>
      </c>
      <c r="AB42" s="10"/>
    </row>
    <row r="43" spans="2:28" x14ac:dyDescent="0.15">
      <c r="B43" s="33" t="s">
        <v>122</v>
      </c>
      <c r="C43" s="33" t="s">
        <v>123</v>
      </c>
      <c r="D43" s="49">
        <v>45184</v>
      </c>
      <c r="E43" s="49">
        <v>2914</v>
      </c>
      <c r="F43" s="49">
        <v>24606</v>
      </c>
      <c r="G43" s="49">
        <v>72704</v>
      </c>
      <c r="H43" s="49">
        <v>29635</v>
      </c>
      <c r="I43" s="49">
        <v>2612</v>
      </c>
      <c r="J43" s="49">
        <v>24056</v>
      </c>
      <c r="K43" s="49">
        <v>56303</v>
      </c>
      <c r="L43" s="49">
        <v>15549</v>
      </c>
      <c r="M43" s="49">
        <v>302</v>
      </c>
      <c r="N43" s="49">
        <v>550</v>
      </c>
      <c r="O43" s="49">
        <v>16401</v>
      </c>
      <c r="P43" s="56">
        <v>0.7744140625</v>
      </c>
      <c r="Q43" s="56">
        <v>0.65587376062322944</v>
      </c>
      <c r="R43" s="56">
        <v>0.89636238846945782</v>
      </c>
      <c r="S43" s="56">
        <v>0.97764772819637491</v>
      </c>
      <c r="T43" s="49">
        <v>17140</v>
      </c>
      <c r="U43" s="49">
        <v>0</v>
      </c>
      <c r="V43" s="49">
        <v>70</v>
      </c>
      <c r="W43" s="49">
        <v>17210</v>
      </c>
      <c r="X43" s="49">
        <v>4311</v>
      </c>
      <c r="Y43" s="49">
        <v>21521</v>
      </c>
      <c r="Z43" s="49">
        <v>5040</v>
      </c>
      <c r="AA43" s="49">
        <v>1221</v>
      </c>
      <c r="AB43" s="10"/>
    </row>
    <row r="44" spans="2:28" x14ac:dyDescent="0.15">
      <c r="B44" s="33" t="s">
        <v>48</v>
      </c>
      <c r="C44" s="33" t="s">
        <v>49</v>
      </c>
      <c r="D44" s="49">
        <v>26019</v>
      </c>
      <c r="E44" s="49">
        <v>2648</v>
      </c>
      <c r="F44" s="49">
        <v>9915</v>
      </c>
      <c r="G44" s="49">
        <v>38582</v>
      </c>
      <c r="H44" s="49">
        <v>17631</v>
      </c>
      <c r="I44" s="49">
        <v>2342</v>
      </c>
      <c r="J44" s="49">
        <v>9360</v>
      </c>
      <c r="K44" s="49">
        <v>29333</v>
      </c>
      <c r="L44" s="49">
        <v>8388</v>
      </c>
      <c r="M44" s="49">
        <v>306</v>
      </c>
      <c r="N44" s="49">
        <v>555</v>
      </c>
      <c r="O44" s="49">
        <v>9249</v>
      </c>
      <c r="P44" s="56">
        <v>0.76027681302161632</v>
      </c>
      <c r="Q44" s="56">
        <v>0.67762020062262196</v>
      </c>
      <c r="R44" s="56">
        <v>0.8844410876132931</v>
      </c>
      <c r="S44" s="56">
        <v>0.94402420574886536</v>
      </c>
      <c r="T44" s="49">
        <v>8606</v>
      </c>
      <c r="U44" s="49">
        <v>20</v>
      </c>
      <c r="V44" s="49">
        <v>0</v>
      </c>
      <c r="W44" s="49">
        <v>8626</v>
      </c>
      <c r="X44" s="49">
        <v>4081</v>
      </c>
      <c r="Y44" s="49">
        <v>12707</v>
      </c>
      <c r="Z44" s="49">
        <v>1915</v>
      </c>
      <c r="AA44" s="49">
        <v>620</v>
      </c>
      <c r="AB44" s="10"/>
    </row>
    <row r="45" spans="2:28" x14ac:dyDescent="0.15">
      <c r="B45" s="33" t="s">
        <v>64</v>
      </c>
      <c r="C45" s="33" t="s">
        <v>65</v>
      </c>
      <c r="D45" s="49">
        <v>21656</v>
      </c>
      <c r="E45" s="49">
        <v>0</v>
      </c>
      <c r="F45" s="49">
        <v>8519</v>
      </c>
      <c r="G45" s="49">
        <v>30175</v>
      </c>
      <c r="H45" s="49">
        <v>13819</v>
      </c>
      <c r="I45" s="49">
        <v>0</v>
      </c>
      <c r="J45" s="49">
        <v>8513</v>
      </c>
      <c r="K45" s="49">
        <v>22332</v>
      </c>
      <c r="L45" s="49">
        <v>7837</v>
      </c>
      <c r="M45" s="49">
        <v>0</v>
      </c>
      <c r="N45" s="49">
        <v>6</v>
      </c>
      <c r="O45" s="49">
        <v>7843</v>
      </c>
      <c r="P45" s="56">
        <v>0.74008285004142504</v>
      </c>
      <c r="Q45" s="56">
        <v>0.63811414850387882</v>
      </c>
      <c r="R45" s="56" t="s">
        <v>41</v>
      </c>
      <c r="S45" s="56">
        <v>0.99929569198262702</v>
      </c>
      <c r="T45" s="49">
        <v>6313</v>
      </c>
      <c r="U45" s="49">
        <v>2</v>
      </c>
      <c r="V45" s="49">
        <v>0</v>
      </c>
      <c r="W45" s="49">
        <v>6315</v>
      </c>
      <c r="X45" s="49">
        <v>3120</v>
      </c>
      <c r="Y45" s="49">
        <v>9435</v>
      </c>
      <c r="Z45" s="49">
        <v>1611</v>
      </c>
      <c r="AA45" s="49">
        <v>412</v>
      </c>
      <c r="AB45" s="10"/>
    </row>
    <row r="46" spans="2:28" x14ac:dyDescent="0.15">
      <c r="B46" s="33" t="s">
        <v>110</v>
      </c>
      <c r="C46" s="33" t="s">
        <v>111</v>
      </c>
      <c r="D46" s="49">
        <v>42992</v>
      </c>
      <c r="E46" s="49">
        <v>0</v>
      </c>
      <c r="F46" s="49">
        <v>20276</v>
      </c>
      <c r="G46" s="49">
        <v>63268</v>
      </c>
      <c r="H46" s="49">
        <v>26798</v>
      </c>
      <c r="I46" s="49">
        <v>0</v>
      </c>
      <c r="J46" s="49">
        <v>19113</v>
      </c>
      <c r="K46" s="49">
        <v>45911</v>
      </c>
      <c r="L46" s="49">
        <v>16194</v>
      </c>
      <c r="M46" s="49">
        <v>0</v>
      </c>
      <c r="N46" s="49">
        <v>1163</v>
      </c>
      <c r="O46" s="49">
        <v>17357</v>
      </c>
      <c r="P46" s="56">
        <v>0.72565910096731367</v>
      </c>
      <c r="Q46" s="56">
        <v>0.62332526981764047</v>
      </c>
      <c r="R46" s="56" t="s">
        <v>41</v>
      </c>
      <c r="S46" s="56">
        <v>0.94264154665614519</v>
      </c>
      <c r="T46" s="49">
        <v>7681</v>
      </c>
      <c r="U46" s="49">
        <v>0</v>
      </c>
      <c r="V46" s="49">
        <v>171</v>
      </c>
      <c r="W46" s="49">
        <v>7852</v>
      </c>
      <c r="X46" s="49">
        <v>1425</v>
      </c>
      <c r="Y46" s="49">
        <v>9277</v>
      </c>
      <c r="Z46" s="49">
        <v>3705</v>
      </c>
      <c r="AA46" s="49">
        <v>2172</v>
      </c>
      <c r="AB46" s="10"/>
    </row>
    <row r="47" spans="2:28" x14ac:dyDescent="0.15">
      <c r="B47" s="33" t="s">
        <v>124</v>
      </c>
      <c r="C47" s="33" t="s">
        <v>125</v>
      </c>
      <c r="D47" s="49">
        <v>69448</v>
      </c>
      <c r="E47" s="49">
        <v>2007</v>
      </c>
      <c r="F47" s="49">
        <v>23851</v>
      </c>
      <c r="G47" s="49">
        <v>95306</v>
      </c>
      <c r="H47" s="49">
        <v>47311</v>
      </c>
      <c r="I47" s="49">
        <v>2007</v>
      </c>
      <c r="J47" s="49">
        <v>23611</v>
      </c>
      <c r="K47" s="49">
        <v>72929</v>
      </c>
      <c r="L47" s="49">
        <v>22137</v>
      </c>
      <c r="M47" s="49">
        <v>0</v>
      </c>
      <c r="N47" s="49">
        <v>240</v>
      </c>
      <c r="O47" s="49">
        <v>22377</v>
      </c>
      <c r="P47" s="56">
        <v>0.76520890604998637</v>
      </c>
      <c r="Q47" s="56">
        <v>0.68124352033175906</v>
      </c>
      <c r="R47" s="56">
        <v>1</v>
      </c>
      <c r="S47" s="56">
        <v>0.98993752882478725</v>
      </c>
      <c r="T47" s="49">
        <v>14080</v>
      </c>
      <c r="U47" s="49">
        <v>0</v>
      </c>
      <c r="V47" s="49">
        <v>181</v>
      </c>
      <c r="W47" s="49">
        <v>14261</v>
      </c>
      <c r="X47" s="49">
        <v>3929</v>
      </c>
      <c r="Y47" s="49">
        <v>18190</v>
      </c>
      <c r="Z47" s="49">
        <v>6940</v>
      </c>
      <c r="AA47" s="49">
        <v>1335</v>
      </c>
      <c r="AB47" s="10"/>
    </row>
    <row r="48" spans="2:28" x14ac:dyDescent="0.15">
      <c r="B48" s="33" t="s">
        <v>58</v>
      </c>
      <c r="C48" s="33" t="s">
        <v>59</v>
      </c>
      <c r="D48" s="49">
        <v>29443</v>
      </c>
      <c r="E48" s="49">
        <v>2778</v>
      </c>
      <c r="F48" s="49">
        <v>8070</v>
      </c>
      <c r="G48" s="49">
        <v>40291</v>
      </c>
      <c r="H48" s="49">
        <v>20252</v>
      </c>
      <c r="I48" s="49">
        <v>2691</v>
      </c>
      <c r="J48" s="49">
        <v>7947</v>
      </c>
      <c r="K48" s="49">
        <v>30890</v>
      </c>
      <c r="L48" s="49">
        <v>9191</v>
      </c>
      <c r="M48" s="49">
        <v>87</v>
      </c>
      <c r="N48" s="49">
        <v>123</v>
      </c>
      <c r="O48" s="49">
        <v>9401</v>
      </c>
      <c r="P48" s="56">
        <v>0.76667245786900295</v>
      </c>
      <c r="Q48" s="56">
        <v>0.68783751655741598</v>
      </c>
      <c r="R48" s="56">
        <v>0.96868250539956802</v>
      </c>
      <c r="S48" s="56">
        <v>0.98475836431226771</v>
      </c>
      <c r="T48" s="49">
        <v>4119</v>
      </c>
      <c r="U48" s="49">
        <v>44</v>
      </c>
      <c r="V48" s="49">
        <v>61</v>
      </c>
      <c r="W48" s="49">
        <v>4224</v>
      </c>
      <c r="X48" s="49">
        <v>983</v>
      </c>
      <c r="Y48" s="49">
        <v>5207</v>
      </c>
      <c r="Z48" s="49">
        <v>1423</v>
      </c>
      <c r="AA48" s="49">
        <v>562</v>
      </c>
      <c r="AB48" s="10"/>
    </row>
    <row r="49" spans="2:28" x14ac:dyDescent="0.15">
      <c r="B49" s="33" t="s">
        <v>54</v>
      </c>
      <c r="C49" s="33" t="s">
        <v>55</v>
      </c>
      <c r="D49" s="49">
        <v>75386</v>
      </c>
      <c r="E49" s="49">
        <v>3643</v>
      </c>
      <c r="F49" s="49">
        <v>50944</v>
      </c>
      <c r="G49" s="49">
        <v>129973</v>
      </c>
      <c r="H49" s="49">
        <v>41693</v>
      </c>
      <c r="I49" s="49">
        <v>3440</v>
      </c>
      <c r="J49" s="49">
        <v>49061</v>
      </c>
      <c r="K49" s="49">
        <v>94194</v>
      </c>
      <c r="L49" s="49">
        <v>33693</v>
      </c>
      <c r="M49" s="49">
        <v>203</v>
      </c>
      <c r="N49" s="49">
        <v>1883</v>
      </c>
      <c r="O49" s="49">
        <v>35779</v>
      </c>
      <c r="P49" s="56">
        <v>0.72471974948643181</v>
      </c>
      <c r="Q49" s="56">
        <v>0.55306024991377711</v>
      </c>
      <c r="R49" s="56">
        <v>0.94427669503156741</v>
      </c>
      <c r="S49" s="56">
        <v>0.96303784547738691</v>
      </c>
      <c r="T49" s="49">
        <v>23443</v>
      </c>
      <c r="U49" s="49">
        <v>254</v>
      </c>
      <c r="V49" s="49">
        <v>0</v>
      </c>
      <c r="W49" s="49">
        <v>23697</v>
      </c>
      <c r="X49" s="49">
        <v>8164</v>
      </c>
      <c r="Y49" s="49">
        <v>31861</v>
      </c>
      <c r="Z49" s="49">
        <v>8168</v>
      </c>
      <c r="AA49" s="49">
        <v>4783</v>
      </c>
      <c r="AB49" s="10"/>
    </row>
    <row r="50" spans="2:28" x14ac:dyDescent="0.15">
      <c r="B50" s="33" t="s">
        <v>840</v>
      </c>
      <c r="C50" s="33" t="s">
        <v>830</v>
      </c>
      <c r="D50" s="49">
        <v>61783</v>
      </c>
      <c r="E50" s="49">
        <v>6572</v>
      </c>
      <c r="F50" s="49">
        <v>27477</v>
      </c>
      <c r="G50" s="49">
        <v>95832</v>
      </c>
      <c r="H50" s="49">
        <v>41076</v>
      </c>
      <c r="I50" s="49">
        <v>6439</v>
      </c>
      <c r="J50" s="49">
        <v>26962</v>
      </c>
      <c r="K50" s="49">
        <v>74477</v>
      </c>
      <c r="L50" s="49">
        <v>20707</v>
      </c>
      <c r="M50" s="49">
        <v>133</v>
      </c>
      <c r="N50" s="49">
        <v>515</v>
      </c>
      <c r="O50" s="49">
        <v>21355</v>
      </c>
      <c r="P50" s="56">
        <v>0.77716211703815008</v>
      </c>
      <c r="Q50" s="56">
        <v>0.66484307981159863</v>
      </c>
      <c r="R50" s="56">
        <v>0.97976262933657943</v>
      </c>
      <c r="S50" s="56">
        <v>0.98125705135203989</v>
      </c>
      <c r="T50" s="49">
        <v>19064</v>
      </c>
      <c r="U50" s="49">
        <v>1015</v>
      </c>
      <c r="V50" s="49">
        <v>30</v>
      </c>
      <c r="W50" s="49">
        <v>20109</v>
      </c>
      <c r="X50" s="49">
        <v>5028</v>
      </c>
      <c r="Y50" s="49">
        <v>25137</v>
      </c>
      <c r="Z50" s="49">
        <v>3103</v>
      </c>
      <c r="AA50" s="49">
        <v>771</v>
      </c>
      <c r="AB50" s="10"/>
    </row>
    <row r="51" spans="2:28" x14ac:dyDescent="0.15">
      <c r="B51" s="33" t="s">
        <v>841</v>
      </c>
      <c r="C51" s="33" t="s">
        <v>809</v>
      </c>
      <c r="D51" s="49">
        <v>76040</v>
      </c>
      <c r="E51" s="49">
        <v>0</v>
      </c>
      <c r="F51" s="49">
        <v>50079</v>
      </c>
      <c r="G51" s="49">
        <v>126119</v>
      </c>
      <c r="H51" s="49">
        <v>44538</v>
      </c>
      <c r="I51" s="49">
        <v>0</v>
      </c>
      <c r="J51" s="49">
        <v>49169</v>
      </c>
      <c r="K51" s="49">
        <v>93707</v>
      </c>
      <c r="L51" s="49">
        <v>31502</v>
      </c>
      <c r="M51" s="49">
        <v>0</v>
      </c>
      <c r="N51" s="49">
        <v>910</v>
      </c>
      <c r="O51" s="49">
        <v>32412</v>
      </c>
      <c r="P51" s="56">
        <v>0.74300462261832079</v>
      </c>
      <c r="Q51" s="56">
        <v>0.58571804313519205</v>
      </c>
      <c r="R51" s="56" t="s">
        <v>41</v>
      </c>
      <c r="S51" s="56">
        <v>0.98182871063719324</v>
      </c>
      <c r="T51" s="49">
        <v>22386</v>
      </c>
      <c r="U51" s="49">
        <v>0</v>
      </c>
      <c r="V51" s="49">
        <v>68</v>
      </c>
      <c r="W51" s="49">
        <v>22454</v>
      </c>
      <c r="X51" s="49">
        <v>5709</v>
      </c>
      <c r="Y51" s="49">
        <v>28163</v>
      </c>
      <c r="Z51" s="49">
        <v>4572</v>
      </c>
      <c r="AA51" s="49">
        <v>1158</v>
      </c>
      <c r="AB51" s="10"/>
    </row>
    <row r="52" spans="2:28" x14ac:dyDescent="0.15">
      <c r="B52" s="33" t="s">
        <v>842</v>
      </c>
      <c r="C52" s="33" t="s">
        <v>836</v>
      </c>
      <c r="D52" s="49">
        <v>69818</v>
      </c>
      <c r="E52" s="49">
        <v>1563</v>
      </c>
      <c r="F52" s="49">
        <v>36057</v>
      </c>
      <c r="G52" s="49">
        <v>107438</v>
      </c>
      <c r="H52" s="49">
        <v>41283</v>
      </c>
      <c r="I52" s="49">
        <v>1399</v>
      </c>
      <c r="J52" s="49">
        <v>34717</v>
      </c>
      <c r="K52" s="49">
        <v>77399</v>
      </c>
      <c r="L52" s="49">
        <v>28535</v>
      </c>
      <c r="M52" s="49">
        <v>164</v>
      </c>
      <c r="N52" s="49">
        <v>1340</v>
      </c>
      <c r="O52" s="49">
        <v>30039</v>
      </c>
      <c r="P52" s="56">
        <v>0.72040618775479814</v>
      </c>
      <c r="Q52" s="56">
        <v>0.59129450857944943</v>
      </c>
      <c r="R52" s="56">
        <v>0.8950735764555342</v>
      </c>
      <c r="S52" s="56">
        <v>0.96283661979643342</v>
      </c>
      <c r="T52" s="49">
        <v>18707</v>
      </c>
      <c r="U52" s="49">
        <v>18</v>
      </c>
      <c r="V52" s="49">
        <v>16</v>
      </c>
      <c r="W52" s="49">
        <v>18741</v>
      </c>
      <c r="X52" s="49">
        <v>5082</v>
      </c>
      <c r="Y52" s="49">
        <v>23823</v>
      </c>
      <c r="Z52" s="49">
        <v>4661</v>
      </c>
      <c r="AA52" s="49">
        <v>2000</v>
      </c>
      <c r="AB52" s="10"/>
    </row>
    <row r="53" spans="2:28" x14ac:dyDescent="0.15">
      <c r="B53" s="33" t="s">
        <v>843</v>
      </c>
      <c r="C53" s="33" t="s">
        <v>812</v>
      </c>
      <c r="D53" s="49">
        <v>49367</v>
      </c>
      <c r="E53" s="49">
        <v>0</v>
      </c>
      <c r="F53" s="49">
        <v>24749</v>
      </c>
      <c r="G53" s="49">
        <v>74116</v>
      </c>
      <c r="H53" s="49">
        <v>31995</v>
      </c>
      <c r="I53" s="49">
        <v>0</v>
      </c>
      <c r="J53" s="49">
        <v>23790</v>
      </c>
      <c r="K53" s="49">
        <v>55785</v>
      </c>
      <c r="L53" s="49">
        <v>17372</v>
      </c>
      <c r="M53" s="49">
        <v>0</v>
      </c>
      <c r="N53" s="49">
        <v>959</v>
      </c>
      <c r="O53" s="49">
        <v>18331</v>
      </c>
      <c r="P53" s="56">
        <v>0.75267148793782723</v>
      </c>
      <c r="Q53" s="56">
        <v>0.64810500941924765</v>
      </c>
      <c r="R53" s="56" t="s">
        <v>41</v>
      </c>
      <c r="S53" s="56">
        <v>0.96125095963473273</v>
      </c>
      <c r="T53" s="49">
        <v>12732</v>
      </c>
      <c r="U53" s="49">
        <v>0</v>
      </c>
      <c r="V53" s="49">
        <v>1</v>
      </c>
      <c r="W53" s="49">
        <v>12733</v>
      </c>
      <c r="X53" s="49">
        <v>2914</v>
      </c>
      <c r="Y53" s="49">
        <v>15647</v>
      </c>
      <c r="Z53" s="49">
        <v>4985</v>
      </c>
      <c r="AA53" s="49">
        <v>1871</v>
      </c>
      <c r="AB53" s="10"/>
    </row>
    <row r="54" spans="2:28" x14ac:dyDescent="0.15">
      <c r="B54" s="33" t="s">
        <v>844</v>
      </c>
      <c r="C54" s="33" t="s">
        <v>813</v>
      </c>
      <c r="D54" s="49">
        <v>107062</v>
      </c>
      <c r="E54" s="49">
        <v>11478</v>
      </c>
      <c r="F54" s="49">
        <v>69389</v>
      </c>
      <c r="G54" s="49">
        <v>187929</v>
      </c>
      <c r="H54" s="49">
        <v>71290</v>
      </c>
      <c r="I54" s="49">
        <v>10712</v>
      </c>
      <c r="J54" s="49">
        <v>67231</v>
      </c>
      <c r="K54" s="49">
        <v>149233</v>
      </c>
      <c r="L54" s="49">
        <v>35772</v>
      </c>
      <c r="M54" s="49">
        <v>766</v>
      </c>
      <c r="N54" s="49">
        <v>2158</v>
      </c>
      <c r="O54" s="49">
        <v>38696</v>
      </c>
      <c r="P54" s="56">
        <v>0.79409244980817228</v>
      </c>
      <c r="Q54" s="56">
        <v>0.66587584763968544</v>
      </c>
      <c r="R54" s="56">
        <v>0.9332636347795783</v>
      </c>
      <c r="S54" s="56">
        <v>0.96889996973583714</v>
      </c>
      <c r="T54" s="49">
        <v>24004</v>
      </c>
      <c r="U54" s="49">
        <v>11</v>
      </c>
      <c r="V54" s="49">
        <v>131</v>
      </c>
      <c r="W54" s="49">
        <v>24146</v>
      </c>
      <c r="X54" s="49">
        <v>2973</v>
      </c>
      <c r="Y54" s="49">
        <v>27119</v>
      </c>
      <c r="Z54" s="49">
        <v>7412</v>
      </c>
      <c r="AA54" s="49">
        <v>3262</v>
      </c>
      <c r="AB54" s="10"/>
    </row>
    <row r="55" spans="2:28" x14ac:dyDescent="0.15">
      <c r="AB55" s="10"/>
    </row>
    <row r="56" spans="2:28" x14ac:dyDescent="0.15">
      <c r="AB56" s="10"/>
    </row>
    <row r="248" ht="12.75" customHeight="1" x14ac:dyDescent="0.15"/>
    <row r="267" ht="26.25" customHeight="1" x14ac:dyDescent="0.15"/>
    <row r="372" spans="30:30" x14ac:dyDescent="0.15">
      <c r="AD372" s="10"/>
    </row>
    <row r="373" spans="30:30" x14ac:dyDescent="0.15">
      <c r="AD373" s="10"/>
    </row>
    <row r="374" spans="30:30" x14ac:dyDescent="0.15">
      <c r="AD374" s="10"/>
    </row>
    <row r="375" spans="30:30" x14ac:dyDescent="0.15">
      <c r="AD375" s="10"/>
    </row>
    <row r="376" spans="30:30" x14ac:dyDescent="0.15">
      <c r="AD376" s="10"/>
    </row>
    <row r="377" spans="30:30" x14ac:dyDescent="0.15">
      <c r="AD377" s="10"/>
    </row>
    <row r="378" spans="30:30" x14ac:dyDescent="0.15">
      <c r="AD378" s="10"/>
    </row>
    <row r="379" spans="30:30" x14ac:dyDescent="0.15">
      <c r="AD379" s="10"/>
    </row>
    <row r="380" spans="30:30" x14ac:dyDescent="0.15">
      <c r="AD380" s="10"/>
    </row>
    <row r="381" spans="30:30" x14ac:dyDescent="0.15">
      <c r="AD381" s="10"/>
    </row>
    <row r="382" spans="30:30" x14ac:dyDescent="0.15">
      <c r="AD382" s="10"/>
    </row>
    <row r="383" spans="30:30" x14ac:dyDescent="0.15">
      <c r="AD383" s="10"/>
    </row>
    <row r="384" spans="30:30" x14ac:dyDescent="0.15">
      <c r="AD384" s="10"/>
    </row>
    <row r="385" spans="30:30" x14ac:dyDescent="0.15">
      <c r="AD385" s="10"/>
    </row>
    <row r="386" spans="30:30" x14ac:dyDescent="0.15">
      <c r="AD386" s="10"/>
    </row>
  </sheetData>
  <mergeCells count="6">
    <mergeCell ref="C2:C3"/>
    <mergeCell ref="T15:AA15"/>
    <mergeCell ref="L15:O15"/>
    <mergeCell ref="D15:G15"/>
    <mergeCell ref="H15:K15"/>
    <mergeCell ref="P15:S1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63FF-0D4F-9648-8CA2-A0AC3517077C}">
  <sheetPr codeName="Sheet2"/>
  <dimension ref="A3:J270"/>
  <sheetViews>
    <sheetView topLeftCell="A129" zoomScale="85" zoomScaleNormal="90" workbookViewId="0">
      <selection activeCell="B169" sqref="B169"/>
    </sheetView>
  </sheetViews>
  <sheetFormatPr baseColWidth="10" defaultRowHeight="13" x14ac:dyDescent="0.15"/>
  <cols>
    <col min="1" max="1" width="8.83203125" customWidth="1"/>
    <col min="2" max="2" width="56" bestFit="1" customWidth="1"/>
    <col min="3" max="3" width="82.5" bestFit="1" customWidth="1"/>
    <col min="4" max="4" width="55.83203125" bestFit="1" customWidth="1"/>
    <col min="5" max="6" width="8.83203125" customWidth="1"/>
    <col min="7" max="7" width="83" bestFit="1" customWidth="1"/>
    <col min="8" max="8" width="10.1640625" bestFit="1" customWidth="1"/>
    <col min="9" max="9" width="86.5" bestFit="1" customWidth="1"/>
    <col min="10" max="256" width="8.83203125" customWidth="1"/>
  </cols>
  <sheetData>
    <row r="3" spans="1:10" x14ac:dyDescent="0.15">
      <c r="A3" s="64" t="s">
        <v>126</v>
      </c>
      <c r="B3" s="64" t="s">
        <v>127</v>
      </c>
      <c r="C3" s="64" t="s">
        <v>128</v>
      </c>
      <c r="D3" s="64" t="s">
        <v>129</v>
      </c>
      <c r="E3" s="64"/>
      <c r="F3" s="64"/>
      <c r="G3" s="64" t="s">
        <v>129</v>
      </c>
      <c r="H3" s="65" t="s">
        <v>21</v>
      </c>
    </row>
    <row r="4" spans="1:10" x14ac:dyDescent="0.15">
      <c r="A4" t="s">
        <v>283</v>
      </c>
      <c r="B4" t="s">
        <v>284</v>
      </c>
      <c r="C4" t="s">
        <v>285</v>
      </c>
      <c r="D4" t="s">
        <v>809</v>
      </c>
      <c r="G4" t="s">
        <v>132</v>
      </c>
      <c r="H4" t="s">
        <v>42</v>
      </c>
      <c r="I4" t="s">
        <v>133</v>
      </c>
      <c r="J4" t="s">
        <v>43</v>
      </c>
    </row>
    <row r="5" spans="1:10" x14ac:dyDescent="0.15">
      <c r="A5" t="s">
        <v>288</v>
      </c>
      <c r="B5" t="s">
        <v>284</v>
      </c>
      <c r="C5" t="s">
        <v>289</v>
      </c>
      <c r="D5" t="s">
        <v>809</v>
      </c>
      <c r="G5" t="s">
        <v>136</v>
      </c>
      <c r="H5" t="s">
        <v>44</v>
      </c>
      <c r="I5" t="s">
        <v>137</v>
      </c>
      <c r="J5" t="s">
        <v>45</v>
      </c>
    </row>
    <row r="6" spans="1:10" x14ac:dyDescent="0.15">
      <c r="A6" t="s">
        <v>290</v>
      </c>
      <c r="B6" t="s">
        <v>284</v>
      </c>
      <c r="C6" t="s">
        <v>291</v>
      </c>
      <c r="D6" t="s">
        <v>809</v>
      </c>
      <c r="G6" t="s">
        <v>140</v>
      </c>
      <c r="H6" t="s">
        <v>46</v>
      </c>
      <c r="I6" t="s">
        <v>141</v>
      </c>
      <c r="J6" t="s">
        <v>47</v>
      </c>
    </row>
    <row r="7" spans="1:10" x14ac:dyDescent="0.15">
      <c r="A7" t="s">
        <v>302</v>
      </c>
      <c r="B7" t="s">
        <v>284</v>
      </c>
      <c r="C7" t="s">
        <v>303</v>
      </c>
      <c r="D7" t="s">
        <v>809</v>
      </c>
      <c r="G7" t="s">
        <v>144</v>
      </c>
      <c r="H7" t="s">
        <v>48</v>
      </c>
      <c r="I7" t="s">
        <v>145</v>
      </c>
      <c r="J7" t="s">
        <v>49</v>
      </c>
    </row>
    <row r="8" spans="1:10" x14ac:dyDescent="0.15">
      <c r="A8" t="s">
        <v>306</v>
      </c>
      <c r="B8" t="s">
        <v>284</v>
      </c>
      <c r="C8" t="s">
        <v>714</v>
      </c>
      <c r="D8" t="s">
        <v>809</v>
      </c>
      <c r="G8" t="s">
        <v>148</v>
      </c>
      <c r="H8" t="s">
        <v>50</v>
      </c>
      <c r="I8" t="s">
        <v>149</v>
      </c>
      <c r="J8" t="s">
        <v>51</v>
      </c>
    </row>
    <row r="9" spans="1:10" x14ac:dyDescent="0.15">
      <c r="A9" t="s">
        <v>320</v>
      </c>
      <c r="B9" t="s">
        <v>284</v>
      </c>
      <c r="C9" t="s">
        <v>712</v>
      </c>
      <c r="D9" t="s">
        <v>809</v>
      </c>
      <c r="G9" t="s">
        <v>152</v>
      </c>
      <c r="H9" t="s">
        <v>52</v>
      </c>
      <c r="I9" t="s">
        <v>153</v>
      </c>
      <c r="J9" t="s">
        <v>53</v>
      </c>
    </row>
    <row r="10" spans="1:10" x14ac:dyDescent="0.15">
      <c r="A10" t="s">
        <v>322</v>
      </c>
      <c r="B10" t="s">
        <v>284</v>
      </c>
      <c r="C10" t="s">
        <v>323</v>
      </c>
      <c r="D10" t="s">
        <v>809</v>
      </c>
      <c r="G10" t="s">
        <v>156</v>
      </c>
      <c r="H10" t="s">
        <v>54</v>
      </c>
      <c r="I10" t="s">
        <v>157</v>
      </c>
      <c r="J10" t="s">
        <v>55</v>
      </c>
    </row>
    <row r="11" spans="1:10" x14ac:dyDescent="0.15">
      <c r="A11" t="s">
        <v>321</v>
      </c>
      <c r="B11" t="s">
        <v>284</v>
      </c>
      <c r="C11" t="s">
        <v>757</v>
      </c>
      <c r="D11" t="s">
        <v>809</v>
      </c>
      <c r="G11" t="s">
        <v>160</v>
      </c>
      <c r="H11" t="s">
        <v>56</v>
      </c>
      <c r="I11" t="s">
        <v>161</v>
      </c>
      <c r="J11" t="s">
        <v>57</v>
      </c>
    </row>
    <row r="12" spans="1:10" x14ac:dyDescent="0.15">
      <c r="A12" t="s">
        <v>324</v>
      </c>
      <c r="B12" t="s">
        <v>284</v>
      </c>
      <c r="C12" t="s">
        <v>325</v>
      </c>
      <c r="D12" t="s">
        <v>810</v>
      </c>
      <c r="G12" t="s">
        <v>164</v>
      </c>
      <c r="H12" t="s">
        <v>58</v>
      </c>
      <c r="I12" t="s">
        <v>165</v>
      </c>
      <c r="J12" t="s">
        <v>59</v>
      </c>
    </row>
    <row r="13" spans="1:10" x14ac:dyDescent="0.15">
      <c r="A13" t="s">
        <v>326</v>
      </c>
      <c r="B13" t="s">
        <v>284</v>
      </c>
      <c r="C13" t="s">
        <v>327</v>
      </c>
      <c r="D13" t="s">
        <v>809</v>
      </c>
      <c r="G13" t="s">
        <v>168</v>
      </c>
      <c r="H13" t="s">
        <v>60</v>
      </c>
      <c r="I13" t="s">
        <v>169</v>
      </c>
      <c r="J13" t="s">
        <v>61</v>
      </c>
    </row>
    <row r="14" spans="1:10" x14ac:dyDescent="0.15">
      <c r="A14" t="s">
        <v>364</v>
      </c>
      <c r="B14" t="s">
        <v>284</v>
      </c>
      <c r="C14" t="s">
        <v>811</v>
      </c>
      <c r="D14" t="s">
        <v>810</v>
      </c>
      <c r="G14" t="s">
        <v>172</v>
      </c>
      <c r="H14" t="s">
        <v>62</v>
      </c>
      <c r="I14" t="s">
        <v>173</v>
      </c>
      <c r="J14" t="s">
        <v>63</v>
      </c>
    </row>
    <row r="15" spans="1:10" x14ac:dyDescent="0.15">
      <c r="A15" t="s">
        <v>368</v>
      </c>
      <c r="B15" t="s">
        <v>284</v>
      </c>
      <c r="C15" t="s">
        <v>369</v>
      </c>
      <c r="D15" t="s">
        <v>812</v>
      </c>
      <c r="G15" t="s">
        <v>176</v>
      </c>
      <c r="H15" t="s">
        <v>64</v>
      </c>
      <c r="I15" t="s">
        <v>177</v>
      </c>
      <c r="J15" t="s">
        <v>65</v>
      </c>
    </row>
    <row r="16" spans="1:10" x14ac:dyDescent="0.15">
      <c r="A16" t="s">
        <v>370</v>
      </c>
      <c r="B16" t="s">
        <v>284</v>
      </c>
      <c r="C16" t="s">
        <v>713</v>
      </c>
      <c r="D16" t="s">
        <v>812</v>
      </c>
      <c r="G16" s="66" t="s">
        <v>793</v>
      </c>
      <c r="H16" s="66" t="s">
        <v>66</v>
      </c>
      <c r="I16" t="s">
        <v>180</v>
      </c>
      <c r="J16" t="s">
        <v>67</v>
      </c>
    </row>
    <row r="17" spans="1:10" x14ac:dyDescent="0.15">
      <c r="A17" t="s">
        <v>373</v>
      </c>
      <c r="B17" t="s">
        <v>284</v>
      </c>
      <c r="C17" t="s">
        <v>715</v>
      </c>
      <c r="D17" t="s">
        <v>812</v>
      </c>
      <c r="G17" t="s">
        <v>183</v>
      </c>
      <c r="H17" t="s">
        <v>68</v>
      </c>
      <c r="I17" t="s">
        <v>184</v>
      </c>
      <c r="J17" t="s">
        <v>69</v>
      </c>
    </row>
    <row r="18" spans="1:10" x14ac:dyDescent="0.15">
      <c r="A18" t="s">
        <v>396</v>
      </c>
      <c r="B18" t="s">
        <v>284</v>
      </c>
      <c r="C18" t="s">
        <v>397</v>
      </c>
      <c r="D18" t="s">
        <v>812</v>
      </c>
      <c r="G18" t="s">
        <v>186</v>
      </c>
      <c r="H18" t="s">
        <v>70</v>
      </c>
      <c r="I18" t="s">
        <v>187</v>
      </c>
      <c r="J18" t="s">
        <v>71</v>
      </c>
    </row>
    <row r="19" spans="1:10" x14ac:dyDescent="0.15">
      <c r="A19" t="s">
        <v>402</v>
      </c>
      <c r="B19" t="s">
        <v>284</v>
      </c>
      <c r="C19" t="s">
        <v>403</v>
      </c>
      <c r="D19" t="s">
        <v>812</v>
      </c>
      <c r="G19" t="s">
        <v>190</v>
      </c>
      <c r="H19" t="s">
        <v>72</v>
      </c>
      <c r="I19" t="s">
        <v>191</v>
      </c>
      <c r="J19" t="s">
        <v>73</v>
      </c>
    </row>
    <row r="20" spans="1:10" x14ac:dyDescent="0.15">
      <c r="A20" t="s">
        <v>174</v>
      </c>
      <c r="B20" t="s">
        <v>131</v>
      </c>
      <c r="C20" t="s">
        <v>175</v>
      </c>
      <c r="D20" t="s">
        <v>813</v>
      </c>
      <c r="G20" t="s">
        <v>193</v>
      </c>
      <c r="H20" t="s">
        <v>74</v>
      </c>
      <c r="I20" t="s">
        <v>194</v>
      </c>
      <c r="J20" t="s">
        <v>75</v>
      </c>
    </row>
    <row r="21" spans="1:10" x14ac:dyDescent="0.15">
      <c r="A21" t="s">
        <v>178</v>
      </c>
      <c r="B21" t="s">
        <v>131</v>
      </c>
      <c r="C21" t="s">
        <v>179</v>
      </c>
      <c r="D21" t="s">
        <v>813</v>
      </c>
      <c r="G21" t="s">
        <v>197</v>
      </c>
      <c r="H21" t="s">
        <v>76</v>
      </c>
      <c r="I21" t="s">
        <v>198</v>
      </c>
      <c r="J21" t="s">
        <v>77</v>
      </c>
    </row>
    <row r="22" spans="1:10" x14ac:dyDescent="0.15">
      <c r="A22" t="s">
        <v>181</v>
      </c>
      <c r="B22" t="s">
        <v>131</v>
      </c>
      <c r="C22" t="s">
        <v>182</v>
      </c>
      <c r="D22" t="s">
        <v>813</v>
      </c>
      <c r="G22" t="s">
        <v>201</v>
      </c>
      <c r="H22" t="s">
        <v>78</v>
      </c>
      <c r="I22" t="s">
        <v>202</v>
      </c>
      <c r="J22" t="s">
        <v>79</v>
      </c>
    </row>
    <row r="23" spans="1:10" x14ac:dyDescent="0.15">
      <c r="A23" t="s">
        <v>185</v>
      </c>
      <c r="B23" t="s">
        <v>131</v>
      </c>
      <c r="C23" t="s">
        <v>723</v>
      </c>
      <c r="D23" t="s">
        <v>813</v>
      </c>
      <c r="G23" t="s">
        <v>205</v>
      </c>
      <c r="H23" t="s">
        <v>80</v>
      </c>
      <c r="I23" t="s">
        <v>206</v>
      </c>
      <c r="J23" t="s">
        <v>81</v>
      </c>
    </row>
    <row r="24" spans="1:10" x14ac:dyDescent="0.15">
      <c r="A24" t="s">
        <v>188</v>
      </c>
      <c r="B24" t="s">
        <v>131</v>
      </c>
      <c r="C24" t="s">
        <v>189</v>
      </c>
      <c r="D24" t="s">
        <v>813</v>
      </c>
      <c r="G24" t="s">
        <v>208</v>
      </c>
      <c r="H24" t="s">
        <v>82</v>
      </c>
      <c r="I24" t="s">
        <v>209</v>
      </c>
      <c r="J24" t="s">
        <v>83</v>
      </c>
    </row>
    <row r="25" spans="1:10" x14ac:dyDescent="0.15">
      <c r="A25" t="s">
        <v>130</v>
      </c>
      <c r="B25" t="s">
        <v>131</v>
      </c>
      <c r="C25" t="s">
        <v>716</v>
      </c>
      <c r="D25" t="s">
        <v>67</v>
      </c>
      <c r="G25" t="s">
        <v>212</v>
      </c>
      <c r="H25" t="s">
        <v>84</v>
      </c>
      <c r="I25" t="s">
        <v>213</v>
      </c>
      <c r="J25" t="s">
        <v>85</v>
      </c>
    </row>
    <row r="26" spans="1:10" x14ac:dyDescent="0.15">
      <c r="A26" t="s">
        <v>162</v>
      </c>
      <c r="B26" t="s">
        <v>131</v>
      </c>
      <c r="C26" t="s">
        <v>163</v>
      </c>
      <c r="D26" t="s">
        <v>67</v>
      </c>
      <c r="G26" t="s">
        <v>216</v>
      </c>
      <c r="H26" t="s">
        <v>86</v>
      </c>
      <c r="I26" t="s">
        <v>217</v>
      </c>
      <c r="J26" t="s">
        <v>87</v>
      </c>
    </row>
    <row r="27" spans="1:10" x14ac:dyDescent="0.15">
      <c r="A27" t="s">
        <v>166</v>
      </c>
      <c r="B27" t="s">
        <v>131</v>
      </c>
      <c r="C27" t="s">
        <v>167</v>
      </c>
      <c r="D27" t="s">
        <v>67</v>
      </c>
      <c r="G27" t="s">
        <v>220</v>
      </c>
      <c r="H27" t="s">
        <v>88</v>
      </c>
      <c r="I27" t="s">
        <v>221</v>
      </c>
      <c r="J27" t="s">
        <v>89</v>
      </c>
    </row>
    <row r="28" spans="1:10" ht="14" x14ac:dyDescent="0.15">
      <c r="A28" t="s">
        <v>134</v>
      </c>
      <c r="B28" t="s">
        <v>131</v>
      </c>
      <c r="C28" t="s">
        <v>135</v>
      </c>
      <c r="D28" t="s">
        <v>67</v>
      </c>
      <c r="G28" s="63" t="s">
        <v>224</v>
      </c>
      <c r="H28" t="s">
        <v>90</v>
      </c>
      <c r="I28" t="s">
        <v>225</v>
      </c>
      <c r="J28" t="s">
        <v>91</v>
      </c>
    </row>
    <row r="29" spans="1:10" x14ac:dyDescent="0.15">
      <c r="A29" t="s">
        <v>142</v>
      </c>
      <c r="B29" t="s">
        <v>131</v>
      </c>
      <c r="C29" t="s">
        <v>143</v>
      </c>
      <c r="D29" t="s">
        <v>67</v>
      </c>
      <c r="G29" t="s">
        <v>228</v>
      </c>
      <c r="H29" t="s">
        <v>92</v>
      </c>
      <c r="I29" t="s">
        <v>229</v>
      </c>
      <c r="J29" t="s">
        <v>93</v>
      </c>
    </row>
    <row r="30" spans="1:10" x14ac:dyDescent="0.15">
      <c r="A30" t="s">
        <v>146</v>
      </c>
      <c r="B30" t="s">
        <v>131</v>
      </c>
      <c r="C30" t="s">
        <v>147</v>
      </c>
      <c r="D30" t="s">
        <v>67</v>
      </c>
      <c r="G30" t="s">
        <v>231</v>
      </c>
      <c r="H30" t="s">
        <v>94</v>
      </c>
      <c r="I30" t="s">
        <v>232</v>
      </c>
      <c r="J30" t="s">
        <v>95</v>
      </c>
    </row>
    <row r="31" spans="1:10" x14ac:dyDescent="0.15">
      <c r="A31" t="s">
        <v>203</v>
      </c>
      <c r="B31" t="s">
        <v>131</v>
      </c>
      <c r="C31" t="s">
        <v>204</v>
      </c>
      <c r="D31" t="s">
        <v>813</v>
      </c>
      <c r="G31" t="s">
        <v>234</v>
      </c>
      <c r="H31" t="s">
        <v>96</v>
      </c>
      <c r="I31" t="s">
        <v>235</v>
      </c>
      <c r="J31" t="s">
        <v>97</v>
      </c>
    </row>
    <row r="32" spans="1:10" x14ac:dyDescent="0.15">
      <c r="A32" t="s">
        <v>207</v>
      </c>
      <c r="B32" t="s">
        <v>131</v>
      </c>
      <c r="C32" t="s">
        <v>717</v>
      </c>
      <c r="D32" t="s">
        <v>813</v>
      </c>
      <c r="G32" t="s">
        <v>237</v>
      </c>
      <c r="H32" t="s">
        <v>98</v>
      </c>
      <c r="I32" t="s">
        <v>238</v>
      </c>
      <c r="J32" t="s">
        <v>99</v>
      </c>
    </row>
    <row r="33" spans="1:10" x14ac:dyDescent="0.15">
      <c r="A33" t="s">
        <v>210</v>
      </c>
      <c r="B33" t="s">
        <v>131</v>
      </c>
      <c r="C33" t="s">
        <v>211</v>
      </c>
      <c r="D33" t="s">
        <v>813</v>
      </c>
      <c r="G33" t="s">
        <v>240</v>
      </c>
      <c r="H33" t="s">
        <v>100</v>
      </c>
      <c r="I33" t="s">
        <v>241</v>
      </c>
      <c r="J33" t="s">
        <v>101</v>
      </c>
    </row>
    <row r="34" spans="1:10" x14ac:dyDescent="0.15">
      <c r="A34" t="s">
        <v>214</v>
      </c>
      <c r="B34" t="s">
        <v>131</v>
      </c>
      <c r="C34" t="s">
        <v>215</v>
      </c>
      <c r="D34" t="s">
        <v>813</v>
      </c>
      <c r="G34" t="s">
        <v>244</v>
      </c>
      <c r="H34" t="s">
        <v>102</v>
      </c>
      <c r="I34" t="s">
        <v>245</v>
      </c>
      <c r="J34" t="s">
        <v>103</v>
      </c>
    </row>
    <row r="35" spans="1:10" x14ac:dyDescent="0.15">
      <c r="A35" t="s">
        <v>222</v>
      </c>
      <c r="B35" t="s">
        <v>131</v>
      </c>
      <c r="C35" t="s">
        <v>223</v>
      </c>
      <c r="D35" t="s">
        <v>813</v>
      </c>
      <c r="G35" t="s">
        <v>248</v>
      </c>
      <c r="H35" t="s">
        <v>104</v>
      </c>
      <c r="I35" t="s">
        <v>249</v>
      </c>
      <c r="J35" t="s">
        <v>105</v>
      </c>
    </row>
    <row r="36" spans="1:10" x14ac:dyDescent="0.15">
      <c r="A36" t="s">
        <v>192</v>
      </c>
      <c r="B36" t="s">
        <v>131</v>
      </c>
      <c r="C36" t="s">
        <v>814</v>
      </c>
      <c r="D36" t="s">
        <v>813</v>
      </c>
      <c r="G36" t="s">
        <v>252</v>
      </c>
      <c r="H36" t="s">
        <v>106</v>
      </c>
      <c r="I36" t="s">
        <v>253</v>
      </c>
      <c r="J36" t="s">
        <v>107</v>
      </c>
    </row>
    <row r="37" spans="1:10" x14ac:dyDescent="0.15">
      <c r="A37" t="s">
        <v>230</v>
      </c>
      <c r="B37" t="s">
        <v>131</v>
      </c>
      <c r="C37" t="s">
        <v>762</v>
      </c>
      <c r="D37" t="s">
        <v>105</v>
      </c>
      <c r="G37" t="s">
        <v>256</v>
      </c>
      <c r="H37" t="s">
        <v>108</v>
      </c>
      <c r="I37" t="s">
        <v>257</v>
      </c>
      <c r="J37" t="s">
        <v>109</v>
      </c>
    </row>
    <row r="38" spans="1:10" x14ac:dyDescent="0.15">
      <c r="A38" t="s">
        <v>233</v>
      </c>
      <c r="B38" t="s">
        <v>131</v>
      </c>
      <c r="C38" t="s">
        <v>719</v>
      </c>
      <c r="D38" t="s">
        <v>105</v>
      </c>
      <c r="G38" t="s">
        <v>259</v>
      </c>
      <c r="H38" t="s">
        <v>110</v>
      </c>
      <c r="I38" t="s">
        <v>260</v>
      </c>
      <c r="J38" t="s">
        <v>111</v>
      </c>
    </row>
    <row r="39" spans="1:10" x14ac:dyDescent="0.15">
      <c r="A39" t="s">
        <v>236</v>
      </c>
      <c r="B39" t="s">
        <v>131</v>
      </c>
      <c r="C39" t="s">
        <v>720</v>
      </c>
      <c r="D39" t="s">
        <v>105</v>
      </c>
      <c r="G39" t="s">
        <v>262</v>
      </c>
      <c r="H39" t="s">
        <v>112</v>
      </c>
      <c r="I39" t="s">
        <v>263</v>
      </c>
      <c r="J39" t="s">
        <v>113</v>
      </c>
    </row>
    <row r="40" spans="1:10" x14ac:dyDescent="0.15">
      <c r="A40" t="s">
        <v>239</v>
      </c>
      <c r="B40" t="s">
        <v>131</v>
      </c>
      <c r="C40" t="s">
        <v>721</v>
      </c>
      <c r="D40" t="s">
        <v>105</v>
      </c>
      <c r="G40" t="s">
        <v>266</v>
      </c>
      <c r="H40" t="s">
        <v>114</v>
      </c>
      <c r="I40" t="s">
        <v>267</v>
      </c>
      <c r="J40" t="s">
        <v>115</v>
      </c>
    </row>
    <row r="41" spans="1:10" x14ac:dyDescent="0.15">
      <c r="A41" t="s">
        <v>250</v>
      </c>
      <c r="B41" t="s">
        <v>131</v>
      </c>
      <c r="C41" t="s">
        <v>251</v>
      </c>
      <c r="D41" t="s">
        <v>111</v>
      </c>
      <c r="G41" t="s">
        <v>270</v>
      </c>
      <c r="H41" t="s">
        <v>116</v>
      </c>
      <c r="I41" t="s">
        <v>271</v>
      </c>
      <c r="J41" t="s">
        <v>117</v>
      </c>
    </row>
    <row r="42" spans="1:10" x14ac:dyDescent="0.15">
      <c r="A42" t="s">
        <v>258</v>
      </c>
      <c r="B42" t="s">
        <v>131</v>
      </c>
      <c r="C42" t="s">
        <v>718</v>
      </c>
      <c r="D42" t="s">
        <v>111</v>
      </c>
      <c r="G42" t="s">
        <v>274</v>
      </c>
      <c r="H42" t="s">
        <v>118</v>
      </c>
      <c r="I42" t="s">
        <v>275</v>
      </c>
      <c r="J42" t="s">
        <v>119</v>
      </c>
    </row>
    <row r="43" spans="1:10" x14ac:dyDescent="0.15">
      <c r="A43" t="s">
        <v>261</v>
      </c>
      <c r="B43" t="s">
        <v>131</v>
      </c>
      <c r="C43" t="s">
        <v>764</v>
      </c>
      <c r="D43" t="s">
        <v>111</v>
      </c>
      <c r="G43" t="s">
        <v>277</v>
      </c>
      <c r="H43" t="s">
        <v>120</v>
      </c>
      <c r="I43" t="s">
        <v>278</v>
      </c>
      <c r="J43" t="s">
        <v>121</v>
      </c>
    </row>
    <row r="44" spans="1:10" x14ac:dyDescent="0.15">
      <c r="A44" t="s">
        <v>264</v>
      </c>
      <c r="B44" t="s">
        <v>131</v>
      </c>
      <c r="C44" t="s">
        <v>265</v>
      </c>
      <c r="D44" t="s">
        <v>111</v>
      </c>
      <c r="G44" t="s">
        <v>281</v>
      </c>
      <c r="H44" t="s">
        <v>122</v>
      </c>
      <c r="I44" t="s">
        <v>282</v>
      </c>
      <c r="J44" t="s">
        <v>123</v>
      </c>
    </row>
    <row r="45" spans="1:10" x14ac:dyDescent="0.15">
      <c r="A45" t="s">
        <v>276</v>
      </c>
      <c r="B45" t="s">
        <v>131</v>
      </c>
      <c r="C45" t="s">
        <v>722</v>
      </c>
      <c r="D45" t="s">
        <v>111</v>
      </c>
      <c r="G45" s="69" t="s">
        <v>286</v>
      </c>
      <c r="H45" t="s">
        <v>124</v>
      </c>
      <c r="I45" t="s">
        <v>287</v>
      </c>
      <c r="J45" t="s">
        <v>125</v>
      </c>
    </row>
    <row r="46" spans="1:10" x14ac:dyDescent="0.15">
      <c r="A46" t="s">
        <v>295</v>
      </c>
      <c r="B46" t="s">
        <v>292</v>
      </c>
      <c r="C46" t="s">
        <v>724</v>
      </c>
      <c r="D46" t="s">
        <v>47</v>
      </c>
    </row>
    <row r="47" spans="1:10" x14ac:dyDescent="0.15">
      <c r="A47" t="s">
        <v>300</v>
      </c>
      <c r="B47" t="s">
        <v>292</v>
      </c>
      <c r="C47" t="s">
        <v>301</v>
      </c>
      <c r="D47" t="s">
        <v>47</v>
      </c>
      <c r="G47" s="69"/>
    </row>
    <row r="48" spans="1:10" x14ac:dyDescent="0.15">
      <c r="A48" t="s">
        <v>404</v>
      </c>
      <c r="B48" t="s">
        <v>292</v>
      </c>
      <c r="C48" t="s">
        <v>725</v>
      </c>
      <c r="D48" t="s">
        <v>123</v>
      </c>
    </row>
    <row r="49" spans="1:4" x14ac:dyDescent="0.15">
      <c r="A49" t="s">
        <v>405</v>
      </c>
      <c r="B49" t="s">
        <v>292</v>
      </c>
      <c r="C49" t="s">
        <v>406</v>
      </c>
      <c r="D49" t="s">
        <v>123</v>
      </c>
    </row>
    <row r="50" spans="1:4" x14ac:dyDescent="0.15">
      <c r="A50" t="s">
        <v>407</v>
      </c>
      <c r="B50" t="s">
        <v>292</v>
      </c>
      <c r="C50" t="s">
        <v>408</v>
      </c>
      <c r="D50" t="s">
        <v>123</v>
      </c>
    </row>
    <row r="51" spans="1:4" x14ac:dyDescent="0.15">
      <c r="A51" t="s">
        <v>409</v>
      </c>
      <c r="B51" t="s">
        <v>292</v>
      </c>
      <c r="C51" t="s">
        <v>410</v>
      </c>
      <c r="D51" t="s">
        <v>123</v>
      </c>
    </row>
    <row r="52" spans="1:4" x14ac:dyDescent="0.15">
      <c r="A52" t="s">
        <v>307</v>
      </c>
      <c r="B52" t="s">
        <v>292</v>
      </c>
      <c r="C52" t="s">
        <v>308</v>
      </c>
      <c r="D52" t="s">
        <v>59</v>
      </c>
    </row>
    <row r="53" spans="1:4" x14ac:dyDescent="0.15">
      <c r="A53" t="s">
        <v>309</v>
      </c>
      <c r="B53" t="s">
        <v>292</v>
      </c>
      <c r="C53" t="s">
        <v>310</v>
      </c>
      <c r="D53" t="s">
        <v>59</v>
      </c>
    </row>
    <row r="54" spans="1:4" x14ac:dyDescent="0.15">
      <c r="A54" t="s">
        <v>313</v>
      </c>
      <c r="B54" t="s">
        <v>292</v>
      </c>
      <c r="C54" t="s">
        <v>314</v>
      </c>
      <c r="D54" t="s">
        <v>59</v>
      </c>
    </row>
    <row r="55" spans="1:4" x14ac:dyDescent="0.15">
      <c r="A55" t="s">
        <v>315</v>
      </c>
      <c r="B55" t="s">
        <v>292</v>
      </c>
      <c r="C55" t="s">
        <v>726</v>
      </c>
      <c r="D55" t="s">
        <v>59</v>
      </c>
    </row>
    <row r="56" spans="1:4" x14ac:dyDescent="0.15">
      <c r="A56" t="s">
        <v>330</v>
      </c>
      <c r="B56" t="s">
        <v>292</v>
      </c>
      <c r="C56" t="s">
        <v>331</v>
      </c>
      <c r="D56" t="s">
        <v>85</v>
      </c>
    </row>
    <row r="57" spans="1:4" x14ac:dyDescent="0.15">
      <c r="A57" t="s">
        <v>332</v>
      </c>
      <c r="B57" t="s">
        <v>292</v>
      </c>
      <c r="C57" t="s">
        <v>333</v>
      </c>
      <c r="D57" t="s">
        <v>85</v>
      </c>
    </row>
    <row r="58" spans="1:4" x14ac:dyDescent="0.15">
      <c r="A58" t="s">
        <v>334</v>
      </c>
      <c r="B58" t="s">
        <v>292</v>
      </c>
      <c r="C58" t="s">
        <v>335</v>
      </c>
      <c r="D58" t="s">
        <v>85</v>
      </c>
    </row>
    <row r="59" spans="1:4" x14ac:dyDescent="0.15">
      <c r="A59" t="s">
        <v>337</v>
      </c>
      <c r="B59" t="s">
        <v>292</v>
      </c>
      <c r="C59" t="s">
        <v>815</v>
      </c>
      <c r="D59" t="s">
        <v>85</v>
      </c>
    </row>
    <row r="60" spans="1:4" x14ac:dyDescent="0.15">
      <c r="A60" t="s">
        <v>316</v>
      </c>
      <c r="B60" t="s">
        <v>292</v>
      </c>
      <c r="C60" t="s">
        <v>317</v>
      </c>
      <c r="D60" t="s">
        <v>79</v>
      </c>
    </row>
    <row r="61" spans="1:4" x14ac:dyDescent="0.15">
      <c r="A61" t="s">
        <v>318</v>
      </c>
      <c r="B61" t="s">
        <v>292</v>
      </c>
      <c r="C61" t="s">
        <v>319</v>
      </c>
      <c r="D61" t="s">
        <v>79</v>
      </c>
    </row>
    <row r="62" spans="1:4" x14ac:dyDescent="0.15">
      <c r="A62" t="s">
        <v>339</v>
      </c>
      <c r="B62" t="s">
        <v>292</v>
      </c>
      <c r="C62" t="s">
        <v>340</v>
      </c>
      <c r="D62" t="s">
        <v>89</v>
      </c>
    </row>
    <row r="63" spans="1:4" x14ac:dyDescent="0.15">
      <c r="A63" t="s">
        <v>336</v>
      </c>
      <c r="B63" t="s">
        <v>292</v>
      </c>
      <c r="C63" t="s">
        <v>816</v>
      </c>
      <c r="D63" t="s">
        <v>89</v>
      </c>
    </row>
    <row r="64" spans="1:4" x14ac:dyDescent="0.15">
      <c r="A64" t="s">
        <v>341</v>
      </c>
      <c r="B64" t="s">
        <v>292</v>
      </c>
      <c r="C64" t="s">
        <v>342</v>
      </c>
      <c r="D64" t="s">
        <v>89</v>
      </c>
    </row>
    <row r="65" spans="1:4" x14ac:dyDescent="0.15">
      <c r="A65" t="s">
        <v>343</v>
      </c>
      <c r="B65" t="s">
        <v>292</v>
      </c>
      <c r="C65" t="s">
        <v>344</v>
      </c>
      <c r="D65" t="s">
        <v>89</v>
      </c>
    </row>
    <row r="66" spans="1:4" x14ac:dyDescent="0.15">
      <c r="A66" t="s">
        <v>345</v>
      </c>
      <c r="B66" t="s">
        <v>292</v>
      </c>
      <c r="C66" t="s">
        <v>817</v>
      </c>
      <c r="D66" t="s">
        <v>89</v>
      </c>
    </row>
    <row r="67" spans="1:4" x14ac:dyDescent="0.15">
      <c r="A67" t="s">
        <v>347</v>
      </c>
      <c r="B67" t="s">
        <v>292</v>
      </c>
      <c r="C67" t="s">
        <v>818</v>
      </c>
      <c r="D67" t="s">
        <v>89</v>
      </c>
    </row>
    <row r="68" spans="1:4" x14ac:dyDescent="0.15">
      <c r="A68" t="s">
        <v>349</v>
      </c>
      <c r="B68" t="s">
        <v>292</v>
      </c>
      <c r="C68" t="s">
        <v>819</v>
      </c>
      <c r="D68" t="s">
        <v>89</v>
      </c>
    </row>
    <row r="69" spans="1:4" x14ac:dyDescent="0.15">
      <c r="A69" t="s">
        <v>353</v>
      </c>
      <c r="B69" t="s">
        <v>292</v>
      </c>
      <c r="C69" t="s">
        <v>820</v>
      </c>
      <c r="D69" t="s">
        <v>89</v>
      </c>
    </row>
    <row r="70" spans="1:4" x14ac:dyDescent="0.15">
      <c r="A70" t="s">
        <v>357</v>
      </c>
      <c r="B70" t="s">
        <v>292</v>
      </c>
      <c r="C70" t="s">
        <v>727</v>
      </c>
      <c r="D70" t="s">
        <v>89</v>
      </c>
    </row>
    <row r="71" spans="1:4" x14ac:dyDescent="0.15">
      <c r="A71" t="s">
        <v>358</v>
      </c>
      <c r="B71" t="s">
        <v>292</v>
      </c>
      <c r="C71" t="s">
        <v>359</v>
      </c>
      <c r="D71" t="s">
        <v>91</v>
      </c>
    </row>
    <row r="72" spans="1:4" x14ac:dyDescent="0.15">
      <c r="A72" t="s">
        <v>360</v>
      </c>
      <c r="B72" t="s">
        <v>292</v>
      </c>
      <c r="C72" t="s">
        <v>361</v>
      </c>
      <c r="D72" t="s">
        <v>91</v>
      </c>
    </row>
    <row r="73" spans="1:4" x14ac:dyDescent="0.15">
      <c r="A73" t="s">
        <v>362</v>
      </c>
      <c r="B73" t="s">
        <v>292</v>
      </c>
      <c r="C73" t="s">
        <v>363</v>
      </c>
      <c r="D73" t="s">
        <v>91</v>
      </c>
    </row>
    <row r="74" spans="1:4" x14ac:dyDescent="0.15">
      <c r="A74" t="s">
        <v>374</v>
      </c>
      <c r="B74" t="s">
        <v>292</v>
      </c>
      <c r="C74" t="s">
        <v>375</v>
      </c>
      <c r="D74" t="s">
        <v>101</v>
      </c>
    </row>
    <row r="75" spans="1:4" x14ac:dyDescent="0.15">
      <c r="A75" t="s">
        <v>376</v>
      </c>
      <c r="B75" t="s">
        <v>292</v>
      </c>
      <c r="C75" t="s">
        <v>377</v>
      </c>
      <c r="D75" t="s">
        <v>101</v>
      </c>
    </row>
    <row r="76" spans="1:4" x14ac:dyDescent="0.15">
      <c r="A76" t="s">
        <v>378</v>
      </c>
      <c r="B76" t="s">
        <v>292</v>
      </c>
      <c r="C76" t="s">
        <v>379</v>
      </c>
      <c r="D76" t="s">
        <v>101</v>
      </c>
    </row>
    <row r="77" spans="1:4" x14ac:dyDescent="0.15">
      <c r="A77" t="s">
        <v>380</v>
      </c>
      <c r="B77" t="s">
        <v>292</v>
      </c>
      <c r="C77" t="s">
        <v>381</v>
      </c>
      <c r="D77" t="s">
        <v>103</v>
      </c>
    </row>
    <row r="78" spans="1:4" x14ac:dyDescent="0.15">
      <c r="A78" t="s">
        <v>382</v>
      </c>
      <c r="B78" t="s">
        <v>292</v>
      </c>
      <c r="C78" t="s">
        <v>383</v>
      </c>
      <c r="D78" t="s">
        <v>103</v>
      </c>
    </row>
    <row r="79" spans="1:4" x14ac:dyDescent="0.15">
      <c r="A79" t="s">
        <v>384</v>
      </c>
      <c r="B79" t="s">
        <v>292</v>
      </c>
      <c r="C79" t="s">
        <v>385</v>
      </c>
      <c r="D79" t="s">
        <v>103</v>
      </c>
    </row>
    <row r="80" spans="1:4" x14ac:dyDescent="0.15">
      <c r="A80" t="s">
        <v>386</v>
      </c>
      <c r="B80" t="s">
        <v>292</v>
      </c>
      <c r="C80" t="s">
        <v>387</v>
      </c>
      <c r="D80" t="s">
        <v>103</v>
      </c>
    </row>
    <row r="81" spans="1:4" x14ac:dyDescent="0.15">
      <c r="A81" t="s">
        <v>388</v>
      </c>
      <c r="B81" t="s">
        <v>292</v>
      </c>
      <c r="C81" t="s">
        <v>389</v>
      </c>
      <c r="D81" t="s">
        <v>107</v>
      </c>
    </row>
    <row r="82" spans="1:4" x14ac:dyDescent="0.15">
      <c r="A82" t="s">
        <v>390</v>
      </c>
      <c r="B82" t="s">
        <v>292</v>
      </c>
      <c r="C82" t="s">
        <v>391</v>
      </c>
      <c r="D82" t="s">
        <v>107</v>
      </c>
    </row>
    <row r="83" spans="1:4" x14ac:dyDescent="0.15">
      <c r="A83" t="s">
        <v>392</v>
      </c>
      <c r="B83" t="s">
        <v>292</v>
      </c>
      <c r="C83" t="s">
        <v>821</v>
      </c>
      <c r="D83" t="s">
        <v>107</v>
      </c>
    </row>
    <row r="84" spans="1:4" x14ac:dyDescent="0.15">
      <c r="A84" t="s">
        <v>393</v>
      </c>
      <c r="B84" t="s">
        <v>292</v>
      </c>
      <c r="C84" t="s">
        <v>728</v>
      </c>
      <c r="D84" t="s">
        <v>115</v>
      </c>
    </row>
    <row r="85" spans="1:4" x14ac:dyDescent="0.15">
      <c r="A85" t="s">
        <v>416</v>
      </c>
      <c r="B85" t="s">
        <v>414</v>
      </c>
      <c r="C85" t="s">
        <v>736</v>
      </c>
      <c r="D85" t="s">
        <v>55</v>
      </c>
    </row>
    <row r="86" spans="1:4" x14ac:dyDescent="0.15">
      <c r="A86" t="s">
        <v>417</v>
      </c>
      <c r="B86" t="s">
        <v>414</v>
      </c>
      <c r="C86" t="s">
        <v>737</v>
      </c>
      <c r="D86" t="s">
        <v>55</v>
      </c>
    </row>
    <row r="87" spans="1:4" x14ac:dyDescent="0.15">
      <c r="A87" t="s">
        <v>418</v>
      </c>
      <c r="B87" t="s">
        <v>414</v>
      </c>
      <c r="C87" t="s">
        <v>419</v>
      </c>
      <c r="D87" t="s">
        <v>55</v>
      </c>
    </row>
    <row r="88" spans="1:4" x14ac:dyDescent="0.15">
      <c r="A88" t="s">
        <v>422</v>
      </c>
      <c r="B88" t="s">
        <v>414</v>
      </c>
      <c r="C88" t="s">
        <v>822</v>
      </c>
      <c r="D88" t="s">
        <v>55</v>
      </c>
    </row>
    <row r="89" spans="1:4" x14ac:dyDescent="0.15">
      <c r="A89" t="s">
        <v>429</v>
      </c>
      <c r="B89" t="s">
        <v>414</v>
      </c>
      <c r="C89" t="s">
        <v>430</v>
      </c>
      <c r="D89" t="s">
        <v>55</v>
      </c>
    </row>
    <row r="90" spans="1:4" x14ac:dyDescent="0.15">
      <c r="A90" t="s">
        <v>423</v>
      </c>
      <c r="B90" t="s">
        <v>414</v>
      </c>
      <c r="C90" t="s">
        <v>738</v>
      </c>
      <c r="D90" t="s">
        <v>55</v>
      </c>
    </row>
    <row r="91" spans="1:4" x14ac:dyDescent="0.15">
      <c r="A91" t="s">
        <v>424</v>
      </c>
      <c r="B91" t="s">
        <v>414</v>
      </c>
      <c r="C91" t="s">
        <v>425</v>
      </c>
      <c r="D91" t="s">
        <v>55</v>
      </c>
    </row>
    <row r="92" spans="1:4" x14ac:dyDescent="0.15">
      <c r="A92" t="s">
        <v>426</v>
      </c>
      <c r="B92" t="s">
        <v>414</v>
      </c>
      <c r="C92" t="s">
        <v>427</v>
      </c>
      <c r="D92" t="s">
        <v>55</v>
      </c>
    </row>
    <row r="93" spans="1:4" x14ac:dyDescent="0.15">
      <c r="A93" t="s">
        <v>428</v>
      </c>
      <c r="B93" t="s">
        <v>414</v>
      </c>
      <c r="C93" t="s">
        <v>823</v>
      </c>
      <c r="D93" t="s">
        <v>55</v>
      </c>
    </row>
    <row r="94" spans="1:4" x14ac:dyDescent="0.15">
      <c r="A94" t="s">
        <v>433</v>
      </c>
      <c r="B94" t="s">
        <v>414</v>
      </c>
      <c r="C94" t="s">
        <v>434</v>
      </c>
      <c r="D94" t="s">
        <v>55</v>
      </c>
    </row>
    <row r="95" spans="1:4" x14ac:dyDescent="0.15">
      <c r="A95" t="s">
        <v>435</v>
      </c>
      <c r="B95" t="s">
        <v>414</v>
      </c>
      <c r="C95" t="s">
        <v>436</v>
      </c>
      <c r="D95" t="s">
        <v>55</v>
      </c>
    </row>
    <row r="96" spans="1:4" x14ac:dyDescent="0.15">
      <c r="A96" t="s">
        <v>437</v>
      </c>
      <c r="B96" t="s">
        <v>414</v>
      </c>
      <c r="C96" t="s">
        <v>845</v>
      </c>
      <c r="D96" t="s">
        <v>55</v>
      </c>
    </row>
    <row r="97" spans="1:4" x14ac:dyDescent="0.15">
      <c r="A97" t="s">
        <v>438</v>
      </c>
      <c r="B97" t="s">
        <v>414</v>
      </c>
      <c r="C97" t="s">
        <v>824</v>
      </c>
      <c r="D97" t="s">
        <v>55</v>
      </c>
    </row>
    <row r="98" spans="1:4" x14ac:dyDescent="0.15">
      <c r="A98" t="s">
        <v>440</v>
      </c>
      <c r="B98" t="s">
        <v>414</v>
      </c>
      <c r="C98" t="s">
        <v>441</v>
      </c>
      <c r="D98" t="s">
        <v>55</v>
      </c>
    </row>
    <row r="99" spans="1:4" x14ac:dyDescent="0.15">
      <c r="A99" t="s">
        <v>463</v>
      </c>
      <c r="B99" t="s">
        <v>414</v>
      </c>
      <c r="C99" t="s">
        <v>464</v>
      </c>
      <c r="D99" t="s">
        <v>73</v>
      </c>
    </row>
    <row r="100" spans="1:4" x14ac:dyDescent="0.15">
      <c r="A100" t="s">
        <v>469</v>
      </c>
      <c r="B100" t="s">
        <v>414</v>
      </c>
      <c r="C100" t="s">
        <v>470</v>
      </c>
      <c r="D100" t="s">
        <v>73</v>
      </c>
    </row>
    <row r="101" spans="1:4" x14ac:dyDescent="0.15">
      <c r="A101" t="s">
        <v>475</v>
      </c>
      <c r="B101" t="s">
        <v>414</v>
      </c>
      <c r="C101" t="s">
        <v>739</v>
      </c>
      <c r="D101" t="s">
        <v>73</v>
      </c>
    </row>
    <row r="102" spans="1:4" x14ac:dyDescent="0.15">
      <c r="A102" t="s">
        <v>477</v>
      </c>
      <c r="B102" t="s">
        <v>414</v>
      </c>
      <c r="C102" t="s">
        <v>478</v>
      </c>
      <c r="D102" t="s">
        <v>73</v>
      </c>
    </row>
    <row r="103" spans="1:4" x14ac:dyDescent="0.15">
      <c r="A103" t="s">
        <v>479</v>
      </c>
      <c r="B103" t="s">
        <v>414</v>
      </c>
      <c r="C103" t="s">
        <v>741</v>
      </c>
      <c r="D103" t="s">
        <v>73</v>
      </c>
    </row>
    <row r="104" spans="1:4" x14ac:dyDescent="0.15">
      <c r="A104" t="s">
        <v>480</v>
      </c>
      <c r="B104" t="s">
        <v>414</v>
      </c>
      <c r="C104" t="s">
        <v>481</v>
      </c>
      <c r="D104" t="s">
        <v>73</v>
      </c>
    </row>
    <row r="105" spans="1:4" x14ac:dyDescent="0.15">
      <c r="A105" t="s">
        <v>484</v>
      </c>
      <c r="B105" t="s">
        <v>414</v>
      </c>
      <c r="C105" t="s">
        <v>743</v>
      </c>
      <c r="D105" t="s">
        <v>73</v>
      </c>
    </row>
    <row r="106" spans="1:4" x14ac:dyDescent="0.15">
      <c r="A106" t="s">
        <v>498</v>
      </c>
      <c r="B106" t="s">
        <v>443</v>
      </c>
      <c r="C106" t="s">
        <v>499</v>
      </c>
      <c r="D106" t="s">
        <v>83</v>
      </c>
    </row>
    <row r="107" spans="1:4" x14ac:dyDescent="0.15">
      <c r="A107" t="s">
        <v>500</v>
      </c>
      <c r="B107" t="s">
        <v>443</v>
      </c>
      <c r="C107" t="s">
        <v>501</v>
      </c>
      <c r="D107" t="s">
        <v>83</v>
      </c>
    </row>
    <row r="108" spans="1:4" x14ac:dyDescent="0.15">
      <c r="A108" t="s">
        <v>502</v>
      </c>
      <c r="B108" t="s">
        <v>443</v>
      </c>
      <c r="C108" t="s">
        <v>503</v>
      </c>
      <c r="D108" t="s">
        <v>83</v>
      </c>
    </row>
    <row r="109" spans="1:4" x14ac:dyDescent="0.15">
      <c r="A109" t="s">
        <v>506</v>
      </c>
      <c r="B109" t="s">
        <v>443</v>
      </c>
      <c r="C109" t="s">
        <v>507</v>
      </c>
      <c r="D109" t="s">
        <v>83</v>
      </c>
    </row>
    <row r="110" spans="1:4" x14ac:dyDescent="0.15">
      <c r="A110" t="s">
        <v>506</v>
      </c>
      <c r="B110" t="s">
        <v>443</v>
      </c>
      <c r="C110" t="s">
        <v>507</v>
      </c>
      <c r="D110" t="s">
        <v>83</v>
      </c>
    </row>
    <row r="111" spans="1:4" x14ac:dyDescent="0.15">
      <c r="A111" t="s">
        <v>534</v>
      </c>
      <c r="B111" t="s">
        <v>443</v>
      </c>
      <c r="C111" t="s">
        <v>732</v>
      </c>
      <c r="D111" t="s">
        <v>83</v>
      </c>
    </row>
    <row r="112" spans="1:4" x14ac:dyDescent="0.15">
      <c r="A112" t="s">
        <v>510</v>
      </c>
      <c r="B112" t="s">
        <v>443</v>
      </c>
      <c r="C112" t="s">
        <v>511</v>
      </c>
      <c r="D112" t="s">
        <v>83</v>
      </c>
    </row>
    <row r="113" spans="1:4" x14ac:dyDescent="0.15">
      <c r="A113" t="s">
        <v>512</v>
      </c>
      <c r="B113" t="s">
        <v>443</v>
      </c>
      <c r="C113" t="s">
        <v>825</v>
      </c>
      <c r="D113" t="s">
        <v>83</v>
      </c>
    </row>
    <row r="114" spans="1:4" x14ac:dyDescent="0.15">
      <c r="A114" t="s">
        <v>514</v>
      </c>
      <c r="B114" t="s">
        <v>443</v>
      </c>
      <c r="C114" t="s">
        <v>734</v>
      </c>
      <c r="D114" t="s">
        <v>83</v>
      </c>
    </row>
    <row r="115" spans="1:4" x14ac:dyDescent="0.15">
      <c r="A115" t="s">
        <v>515</v>
      </c>
      <c r="B115" t="s">
        <v>443</v>
      </c>
      <c r="C115" t="s">
        <v>516</v>
      </c>
      <c r="D115" t="s">
        <v>83</v>
      </c>
    </row>
    <row r="116" spans="1:4" x14ac:dyDescent="0.15">
      <c r="A116" t="s">
        <v>519</v>
      </c>
      <c r="B116" t="s">
        <v>443</v>
      </c>
      <c r="C116" t="s">
        <v>520</v>
      </c>
      <c r="D116" t="s">
        <v>83</v>
      </c>
    </row>
    <row r="117" spans="1:4" x14ac:dyDescent="0.15">
      <c r="A117" t="s">
        <v>485</v>
      </c>
      <c r="B117" t="s">
        <v>414</v>
      </c>
      <c r="C117" t="s">
        <v>486</v>
      </c>
      <c r="D117" t="s">
        <v>77</v>
      </c>
    </row>
    <row r="118" spans="1:4" x14ac:dyDescent="0.15">
      <c r="A118" t="s">
        <v>487</v>
      </c>
      <c r="B118" t="s">
        <v>414</v>
      </c>
      <c r="C118" t="s">
        <v>488</v>
      </c>
      <c r="D118" t="s">
        <v>77</v>
      </c>
    </row>
    <row r="119" spans="1:4" x14ac:dyDescent="0.15">
      <c r="A119" t="s">
        <v>489</v>
      </c>
      <c r="B119" t="s">
        <v>414</v>
      </c>
      <c r="C119" t="s">
        <v>490</v>
      </c>
      <c r="D119" t="s">
        <v>77</v>
      </c>
    </row>
    <row r="120" spans="1:4" x14ac:dyDescent="0.15">
      <c r="A120" t="s">
        <v>491</v>
      </c>
      <c r="B120" t="s">
        <v>414</v>
      </c>
      <c r="C120" t="s">
        <v>826</v>
      </c>
      <c r="D120" t="s">
        <v>77</v>
      </c>
    </row>
    <row r="121" spans="1:4" x14ac:dyDescent="0.15">
      <c r="A121" t="s">
        <v>493</v>
      </c>
      <c r="B121" t="s">
        <v>414</v>
      </c>
      <c r="C121" t="s">
        <v>494</v>
      </c>
      <c r="D121" t="s">
        <v>77</v>
      </c>
    </row>
    <row r="122" spans="1:4" x14ac:dyDescent="0.15">
      <c r="A122" t="s">
        <v>495</v>
      </c>
      <c r="B122" t="s">
        <v>414</v>
      </c>
      <c r="C122" t="s">
        <v>742</v>
      </c>
      <c r="D122" t="s">
        <v>77</v>
      </c>
    </row>
    <row r="123" spans="1:4" x14ac:dyDescent="0.15">
      <c r="A123" t="s">
        <v>445</v>
      </c>
      <c r="B123" t="s">
        <v>443</v>
      </c>
      <c r="C123" t="s">
        <v>730</v>
      </c>
      <c r="D123" t="s">
        <v>61</v>
      </c>
    </row>
    <row r="124" spans="1:4" x14ac:dyDescent="0.15">
      <c r="A124" t="s">
        <v>448</v>
      </c>
      <c r="B124" t="s">
        <v>443</v>
      </c>
      <c r="C124" t="s">
        <v>449</v>
      </c>
      <c r="D124" t="s">
        <v>61</v>
      </c>
    </row>
    <row r="125" spans="1:4" x14ac:dyDescent="0.15">
      <c r="A125" t="s">
        <v>446</v>
      </c>
      <c r="B125" t="s">
        <v>443</v>
      </c>
      <c r="C125" t="s">
        <v>447</v>
      </c>
      <c r="D125" t="s">
        <v>61</v>
      </c>
    </row>
    <row r="126" spans="1:4" x14ac:dyDescent="0.15">
      <c r="A126" t="s">
        <v>450</v>
      </c>
      <c r="B126" t="s">
        <v>443</v>
      </c>
      <c r="C126" t="s">
        <v>733</v>
      </c>
      <c r="D126" t="s">
        <v>61</v>
      </c>
    </row>
    <row r="127" spans="1:4" x14ac:dyDescent="0.15">
      <c r="A127" t="s">
        <v>451</v>
      </c>
      <c r="B127" t="s">
        <v>443</v>
      </c>
      <c r="C127" t="s">
        <v>452</v>
      </c>
      <c r="D127" t="s">
        <v>61</v>
      </c>
    </row>
    <row r="128" spans="1:4" x14ac:dyDescent="0.15">
      <c r="A128" t="s">
        <v>453</v>
      </c>
      <c r="B128" t="s">
        <v>443</v>
      </c>
      <c r="C128" t="s">
        <v>454</v>
      </c>
      <c r="D128" t="s">
        <v>61</v>
      </c>
    </row>
    <row r="129" spans="1:4" x14ac:dyDescent="0.15">
      <c r="A129" t="s">
        <v>455</v>
      </c>
      <c r="B129" t="s">
        <v>443</v>
      </c>
      <c r="C129" t="s">
        <v>827</v>
      </c>
      <c r="D129" t="s">
        <v>61</v>
      </c>
    </row>
    <row r="130" spans="1:4" x14ac:dyDescent="0.15">
      <c r="A130" t="s">
        <v>459</v>
      </c>
      <c r="B130" t="s">
        <v>443</v>
      </c>
      <c r="C130" t="s">
        <v>460</v>
      </c>
      <c r="D130" t="s">
        <v>61</v>
      </c>
    </row>
    <row r="131" spans="1:4" x14ac:dyDescent="0.15">
      <c r="A131" t="s">
        <v>461</v>
      </c>
      <c r="B131" t="s">
        <v>443</v>
      </c>
      <c r="C131" t="s">
        <v>462</v>
      </c>
      <c r="D131" t="s">
        <v>61</v>
      </c>
    </row>
    <row r="132" spans="1:4" x14ac:dyDescent="0.15">
      <c r="A132" t="s">
        <v>521</v>
      </c>
      <c r="B132" t="s">
        <v>443</v>
      </c>
      <c r="C132" t="s">
        <v>522</v>
      </c>
      <c r="D132" t="s">
        <v>113</v>
      </c>
    </row>
    <row r="133" spans="1:4" x14ac:dyDescent="0.15">
      <c r="A133" t="s">
        <v>523</v>
      </c>
      <c r="B133" t="s">
        <v>443</v>
      </c>
      <c r="C133" t="s">
        <v>731</v>
      </c>
      <c r="D133" t="s">
        <v>113</v>
      </c>
    </row>
    <row r="134" spans="1:4" x14ac:dyDescent="0.15">
      <c r="A134" t="s">
        <v>524</v>
      </c>
      <c r="B134" t="s">
        <v>443</v>
      </c>
      <c r="C134" t="s">
        <v>735</v>
      </c>
      <c r="D134" t="s">
        <v>113</v>
      </c>
    </row>
    <row r="135" spans="1:4" x14ac:dyDescent="0.15">
      <c r="A135" t="s">
        <v>525</v>
      </c>
      <c r="B135" t="s">
        <v>443</v>
      </c>
      <c r="C135" t="s">
        <v>526</v>
      </c>
      <c r="D135" t="s">
        <v>113</v>
      </c>
    </row>
    <row r="136" spans="1:4" x14ac:dyDescent="0.15">
      <c r="A136" t="s">
        <v>527</v>
      </c>
      <c r="B136" t="s">
        <v>443</v>
      </c>
      <c r="C136" t="s">
        <v>528</v>
      </c>
      <c r="D136" t="s">
        <v>113</v>
      </c>
    </row>
    <row r="137" spans="1:4" x14ac:dyDescent="0.15">
      <c r="A137" t="s">
        <v>529</v>
      </c>
      <c r="B137" t="s">
        <v>443</v>
      </c>
      <c r="C137" t="s">
        <v>530</v>
      </c>
      <c r="D137" t="s">
        <v>125</v>
      </c>
    </row>
    <row r="138" spans="1:4" x14ac:dyDescent="0.15">
      <c r="A138" t="s">
        <v>531</v>
      </c>
      <c r="B138" t="s">
        <v>443</v>
      </c>
      <c r="C138" t="s">
        <v>532</v>
      </c>
      <c r="D138" t="s">
        <v>125</v>
      </c>
    </row>
    <row r="139" spans="1:4" x14ac:dyDescent="0.15">
      <c r="A139" t="s">
        <v>533</v>
      </c>
      <c r="B139" t="s">
        <v>443</v>
      </c>
      <c r="C139" t="s">
        <v>729</v>
      </c>
      <c r="D139" t="s">
        <v>125</v>
      </c>
    </row>
    <row r="140" spans="1:4" x14ac:dyDescent="0.15">
      <c r="A140" t="s">
        <v>537</v>
      </c>
      <c r="B140" t="s">
        <v>443</v>
      </c>
      <c r="C140" t="s">
        <v>538</v>
      </c>
      <c r="D140" t="s">
        <v>125</v>
      </c>
    </row>
    <row r="141" spans="1:4" x14ac:dyDescent="0.15">
      <c r="A141" t="s">
        <v>539</v>
      </c>
      <c r="B141" t="s">
        <v>443</v>
      </c>
      <c r="C141" t="s">
        <v>828</v>
      </c>
      <c r="D141" t="s">
        <v>125</v>
      </c>
    </row>
    <row r="142" spans="1:4" x14ac:dyDescent="0.15">
      <c r="A142" t="s">
        <v>541</v>
      </c>
      <c r="B142" t="s">
        <v>443</v>
      </c>
      <c r="C142" t="s">
        <v>770</v>
      </c>
      <c r="D142" t="s">
        <v>125</v>
      </c>
    </row>
    <row r="143" spans="1:4" x14ac:dyDescent="0.15">
      <c r="A143" t="s">
        <v>547</v>
      </c>
      <c r="B143" t="s">
        <v>443</v>
      </c>
      <c r="C143" t="s">
        <v>548</v>
      </c>
      <c r="D143" t="s">
        <v>125</v>
      </c>
    </row>
    <row r="144" spans="1:4" x14ac:dyDescent="0.15">
      <c r="A144" t="s">
        <v>798</v>
      </c>
      <c r="B144" t="s">
        <v>550</v>
      </c>
      <c r="C144" t="s">
        <v>794</v>
      </c>
      <c r="D144" t="s">
        <v>43</v>
      </c>
    </row>
    <row r="145" spans="1:4" x14ac:dyDescent="0.15">
      <c r="A145" t="s">
        <v>552</v>
      </c>
      <c r="B145" t="s">
        <v>550</v>
      </c>
      <c r="C145" t="s">
        <v>553</v>
      </c>
      <c r="D145" t="s">
        <v>43</v>
      </c>
    </row>
    <row r="146" spans="1:4" x14ac:dyDescent="0.15">
      <c r="A146" t="s">
        <v>556</v>
      </c>
      <c r="B146" t="s">
        <v>550</v>
      </c>
      <c r="C146" t="s">
        <v>555</v>
      </c>
      <c r="D146" t="s">
        <v>43</v>
      </c>
    </row>
    <row r="147" spans="1:4" x14ac:dyDescent="0.15">
      <c r="A147" t="s">
        <v>557</v>
      </c>
      <c r="B147" t="s">
        <v>550</v>
      </c>
      <c r="C147" t="s">
        <v>558</v>
      </c>
      <c r="D147" t="s">
        <v>43</v>
      </c>
    </row>
    <row r="148" spans="1:4" x14ac:dyDescent="0.15">
      <c r="A148" t="s">
        <v>559</v>
      </c>
      <c r="B148" t="s">
        <v>550</v>
      </c>
      <c r="C148" t="s">
        <v>560</v>
      </c>
      <c r="D148" t="s">
        <v>43</v>
      </c>
    </row>
    <row r="149" spans="1:4" x14ac:dyDescent="0.15">
      <c r="A149" t="s">
        <v>799</v>
      </c>
      <c r="B149" t="s">
        <v>550</v>
      </c>
      <c r="C149" t="s">
        <v>795</v>
      </c>
      <c r="D149" t="s">
        <v>43</v>
      </c>
    </row>
    <row r="150" spans="1:4" x14ac:dyDescent="0.15">
      <c r="A150" t="s">
        <v>567</v>
      </c>
      <c r="B150" t="s">
        <v>550</v>
      </c>
      <c r="C150" t="s">
        <v>568</v>
      </c>
      <c r="D150" t="s">
        <v>49</v>
      </c>
    </row>
    <row r="151" spans="1:4" x14ac:dyDescent="0.15">
      <c r="A151" t="s">
        <v>565</v>
      </c>
      <c r="B151" t="s">
        <v>550</v>
      </c>
      <c r="C151" t="s">
        <v>829</v>
      </c>
      <c r="D151" t="s">
        <v>49</v>
      </c>
    </row>
    <row r="152" spans="1:4" x14ac:dyDescent="0.15">
      <c r="A152" t="s">
        <v>569</v>
      </c>
      <c r="B152" t="s">
        <v>550</v>
      </c>
      <c r="C152" t="s">
        <v>846</v>
      </c>
      <c r="D152" t="s">
        <v>49</v>
      </c>
    </row>
    <row r="153" spans="1:4" x14ac:dyDescent="0.15">
      <c r="A153" t="s">
        <v>576</v>
      </c>
      <c r="B153" t="s">
        <v>574</v>
      </c>
      <c r="C153" t="s">
        <v>577</v>
      </c>
      <c r="D153" t="s">
        <v>830</v>
      </c>
    </row>
    <row r="154" spans="1:4" x14ac:dyDescent="0.15">
      <c r="A154" t="s">
        <v>578</v>
      </c>
      <c r="B154" t="s">
        <v>574</v>
      </c>
      <c r="C154" t="s">
        <v>579</v>
      </c>
      <c r="D154" t="s">
        <v>830</v>
      </c>
    </row>
    <row r="155" spans="1:4" x14ac:dyDescent="0.15">
      <c r="A155" t="s">
        <v>580</v>
      </c>
      <c r="B155" t="s">
        <v>574</v>
      </c>
      <c r="C155" t="s">
        <v>581</v>
      </c>
      <c r="D155" t="s">
        <v>830</v>
      </c>
    </row>
    <row r="156" spans="1:4" x14ac:dyDescent="0.15">
      <c r="A156" t="s">
        <v>582</v>
      </c>
      <c r="B156" t="s">
        <v>574</v>
      </c>
      <c r="C156" t="s">
        <v>583</v>
      </c>
      <c r="D156" t="s">
        <v>830</v>
      </c>
    </row>
    <row r="157" spans="1:4" x14ac:dyDescent="0.15">
      <c r="A157" t="s">
        <v>584</v>
      </c>
      <c r="B157" t="s">
        <v>574</v>
      </c>
      <c r="C157" t="s">
        <v>585</v>
      </c>
      <c r="D157" t="s">
        <v>830</v>
      </c>
    </row>
    <row r="158" spans="1:4" x14ac:dyDescent="0.15">
      <c r="A158" t="s">
        <v>586</v>
      </c>
      <c r="B158" t="s">
        <v>550</v>
      </c>
      <c r="C158" t="s">
        <v>587</v>
      </c>
      <c r="D158" t="s">
        <v>57</v>
      </c>
    </row>
    <row r="159" spans="1:4" x14ac:dyDescent="0.15">
      <c r="A159" t="s">
        <v>588</v>
      </c>
      <c r="B159" t="s">
        <v>550</v>
      </c>
      <c r="C159" t="s">
        <v>589</v>
      </c>
      <c r="D159" t="s">
        <v>57</v>
      </c>
    </row>
    <row r="160" spans="1:4" x14ac:dyDescent="0.15">
      <c r="A160" t="s">
        <v>590</v>
      </c>
      <c r="B160" t="s">
        <v>550</v>
      </c>
      <c r="C160" t="s">
        <v>591</v>
      </c>
      <c r="D160" t="s">
        <v>63</v>
      </c>
    </row>
    <row r="161" spans="1:4" x14ac:dyDescent="0.15">
      <c r="A161" t="s">
        <v>596</v>
      </c>
      <c r="B161" t="s">
        <v>550</v>
      </c>
      <c r="C161" t="s">
        <v>597</v>
      </c>
      <c r="D161" t="s">
        <v>63</v>
      </c>
    </row>
    <row r="162" spans="1:4" x14ac:dyDescent="0.15">
      <c r="A162" t="s">
        <v>598</v>
      </c>
      <c r="B162" t="s">
        <v>550</v>
      </c>
      <c r="C162" t="s">
        <v>599</v>
      </c>
      <c r="D162" t="s">
        <v>63</v>
      </c>
    </row>
    <row r="163" spans="1:4" x14ac:dyDescent="0.15">
      <c r="A163" t="s">
        <v>600</v>
      </c>
      <c r="B163" t="s">
        <v>550</v>
      </c>
      <c r="C163" t="s">
        <v>601</v>
      </c>
      <c r="D163" t="s">
        <v>63</v>
      </c>
    </row>
    <row r="164" spans="1:4" x14ac:dyDescent="0.15">
      <c r="A164" t="s">
        <v>607</v>
      </c>
      <c r="B164" t="s">
        <v>550</v>
      </c>
      <c r="C164" t="s">
        <v>608</v>
      </c>
      <c r="D164" t="s">
        <v>63</v>
      </c>
    </row>
    <row r="165" spans="1:4" x14ac:dyDescent="0.15">
      <c r="A165" t="s">
        <v>602</v>
      </c>
      <c r="B165" t="s">
        <v>550</v>
      </c>
      <c r="C165" t="s">
        <v>750</v>
      </c>
      <c r="D165" t="s">
        <v>63</v>
      </c>
    </row>
    <row r="166" spans="1:4" x14ac:dyDescent="0.15">
      <c r="A166" t="s">
        <v>603</v>
      </c>
      <c r="B166" t="s">
        <v>550</v>
      </c>
      <c r="C166" t="s">
        <v>604</v>
      </c>
      <c r="D166" t="s">
        <v>65</v>
      </c>
    </row>
    <row r="167" spans="1:4" x14ac:dyDescent="0.15">
      <c r="A167" t="s">
        <v>605</v>
      </c>
      <c r="B167" t="s">
        <v>550</v>
      </c>
      <c r="C167" t="s">
        <v>606</v>
      </c>
      <c r="D167" t="s">
        <v>65</v>
      </c>
    </row>
    <row r="168" spans="1:4" x14ac:dyDescent="0.15">
      <c r="A168" t="s">
        <v>609</v>
      </c>
      <c r="B168" t="s">
        <v>550</v>
      </c>
      <c r="C168" t="s">
        <v>610</v>
      </c>
      <c r="D168" t="s">
        <v>65</v>
      </c>
    </row>
    <row r="169" spans="1:4" x14ac:dyDescent="0.15">
      <c r="A169" t="s">
        <v>613</v>
      </c>
      <c r="B169" t="s">
        <v>574</v>
      </c>
      <c r="C169" t="s">
        <v>614</v>
      </c>
      <c r="D169" t="s">
        <v>830</v>
      </c>
    </row>
    <row r="170" spans="1:4" x14ac:dyDescent="0.15">
      <c r="A170" t="s">
        <v>617</v>
      </c>
      <c r="B170" t="s">
        <v>574</v>
      </c>
      <c r="C170" t="s">
        <v>618</v>
      </c>
      <c r="D170" t="s">
        <v>830</v>
      </c>
    </row>
    <row r="171" spans="1:4" x14ac:dyDescent="0.15">
      <c r="A171" t="s">
        <v>619</v>
      </c>
      <c r="B171" t="s">
        <v>550</v>
      </c>
      <c r="C171" t="s">
        <v>831</v>
      </c>
      <c r="D171" t="s">
        <v>71</v>
      </c>
    </row>
    <row r="172" spans="1:4" x14ac:dyDescent="0.15">
      <c r="A172" t="s">
        <v>621</v>
      </c>
      <c r="B172" t="s">
        <v>550</v>
      </c>
      <c r="C172" t="s">
        <v>622</v>
      </c>
      <c r="D172" t="s">
        <v>71</v>
      </c>
    </row>
    <row r="173" spans="1:4" x14ac:dyDescent="0.15">
      <c r="A173" t="s">
        <v>623</v>
      </c>
      <c r="B173" t="s">
        <v>550</v>
      </c>
      <c r="C173" t="s">
        <v>624</v>
      </c>
      <c r="D173" t="s">
        <v>71</v>
      </c>
    </row>
    <row r="174" spans="1:4" x14ac:dyDescent="0.15">
      <c r="A174" t="s">
        <v>625</v>
      </c>
      <c r="B174" t="s">
        <v>574</v>
      </c>
      <c r="C174" t="s">
        <v>626</v>
      </c>
      <c r="D174" t="s">
        <v>75</v>
      </c>
    </row>
    <row r="175" spans="1:4" x14ac:dyDescent="0.15">
      <c r="A175" t="s">
        <v>627</v>
      </c>
      <c r="B175" t="s">
        <v>574</v>
      </c>
      <c r="C175" t="s">
        <v>746</v>
      </c>
      <c r="D175" t="s">
        <v>75</v>
      </c>
    </row>
    <row r="176" spans="1:4" x14ac:dyDescent="0.15">
      <c r="A176" t="s">
        <v>630</v>
      </c>
      <c r="B176" t="s">
        <v>574</v>
      </c>
      <c r="C176" t="s">
        <v>832</v>
      </c>
      <c r="D176" t="s">
        <v>75</v>
      </c>
    </row>
    <row r="177" spans="1:4" x14ac:dyDescent="0.15">
      <c r="A177" t="s">
        <v>628</v>
      </c>
      <c r="B177" t="s">
        <v>574</v>
      </c>
      <c r="C177" t="s">
        <v>629</v>
      </c>
      <c r="D177" t="s">
        <v>75</v>
      </c>
    </row>
    <row r="178" spans="1:4" x14ac:dyDescent="0.15">
      <c r="A178" t="s">
        <v>632</v>
      </c>
      <c r="B178" t="s">
        <v>574</v>
      </c>
      <c r="C178" t="s">
        <v>833</v>
      </c>
      <c r="D178" t="s">
        <v>75</v>
      </c>
    </row>
    <row r="179" spans="1:4" x14ac:dyDescent="0.15">
      <c r="A179" t="s">
        <v>634</v>
      </c>
      <c r="B179" t="s">
        <v>574</v>
      </c>
      <c r="C179" t="s">
        <v>635</v>
      </c>
      <c r="D179" t="s">
        <v>75</v>
      </c>
    </row>
    <row r="180" spans="1:4" x14ac:dyDescent="0.15">
      <c r="A180" t="s">
        <v>636</v>
      </c>
      <c r="B180" t="s">
        <v>574</v>
      </c>
      <c r="C180" t="s">
        <v>834</v>
      </c>
      <c r="D180" t="s">
        <v>75</v>
      </c>
    </row>
    <row r="181" spans="1:4" x14ac:dyDescent="0.15">
      <c r="A181" t="s">
        <v>637</v>
      </c>
      <c r="B181" t="s">
        <v>574</v>
      </c>
      <c r="C181" t="s">
        <v>638</v>
      </c>
      <c r="D181" t="s">
        <v>75</v>
      </c>
    </row>
    <row r="182" spans="1:4" x14ac:dyDescent="0.15">
      <c r="A182" t="s">
        <v>639</v>
      </c>
      <c r="B182" t="s">
        <v>574</v>
      </c>
      <c r="C182" t="s">
        <v>745</v>
      </c>
      <c r="D182" t="s">
        <v>87</v>
      </c>
    </row>
    <row r="183" spans="1:4" x14ac:dyDescent="0.15">
      <c r="A183" t="s">
        <v>641</v>
      </c>
      <c r="B183" t="s">
        <v>574</v>
      </c>
      <c r="C183" t="s">
        <v>642</v>
      </c>
      <c r="D183" t="s">
        <v>87</v>
      </c>
    </row>
    <row r="184" spans="1:4" x14ac:dyDescent="0.15">
      <c r="A184" t="s">
        <v>835</v>
      </c>
      <c r="B184" t="s">
        <v>574</v>
      </c>
      <c r="C184" t="s">
        <v>796</v>
      </c>
      <c r="D184" t="s">
        <v>87</v>
      </c>
    </row>
    <row r="185" spans="1:4" x14ac:dyDescent="0.15">
      <c r="A185" t="s">
        <v>801</v>
      </c>
      <c r="B185" t="s">
        <v>574</v>
      </c>
      <c r="C185" t="s">
        <v>800</v>
      </c>
      <c r="D185" t="s">
        <v>87</v>
      </c>
    </row>
    <row r="186" spans="1:4" x14ac:dyDescent="0.15">
      <c r="A186" t="s">
        <v>643</v>
      </c>
      <c r="B186" t="s">
        <v>574</v>
      </c>
      <c r="C186" t="s">
        <v>644</v>
      </c>
      <c r="D186" t="s">
        <v>87</v>
      </c>
    </row>
    <row r="187" spans="1:4" x14ac:dyDescent="0.15">
      <c r="A187" t="s">
        <v>645</v>
      </c>
      <c r="B187" t="s">
        <v>574</v>
      </c>
      <c r="C187" t="s">
        <v>747</v>
      </c>
      <c r="D187" t="s">
        <v>87</v>
      </c>
    </row>
    <row r="188" spans="1:4" x14ac:dyDescent="0.15">
      <c r="A188" t="s">
        <v>646</v>
      </c>
      <c r="B188" t="s">
        <v>574</v>
      </c>
      <c r="C188" t="s">
        <v>647</v>
      </c>
      <c r="D188" t="s">
        <v>87</v>
      </c>
    </row>
    <row r="189" spans="1:4" x14ac:dyDescent="0.15">
      <c r="A189" t="s">
        <v>640</v>
      </c>
      <c r="B189" t="s">
        <v>574</v>
      </c>
      <c r="C189" t="s">
        <v>786</v>
      </c>
      <c r="D189" t="s">
        <v>87</v>
      </c>
    </row>
    <row r="190" spans="1:4" x14ac:dyDescent="0.15">
      <c r="A190" t="s">
        <v>648</v>
      </c>
      <c r="B190" t="s">
        <v>550</v>
      </c>
      <c r="C190" t="s">
        <v>649</v>
      </c>
      <c r="D190" t="s">
        <v>109</v>
      </c>
    </row>
    <row r="191" spans="1:4" x14ac:dyDescent="0.15">
      <c r="A191" t="s">
        <v>652</v>
      </c>
      <c r="B191" t="s">
        <v>574</v>
      </c>
      <c r="C191" t="s">
        <v>744</v>
      </c>
      <c r="D191" t="s">
        <v>836</v>
      </c>
    </row>
    <row r="192" spans="1:4" x14ac:dyDescent="0.15">
      <c r="A192" t="s">
        <v>655</v>
      </c>
      <c r="B192" t="s">
        <v>574</v>
      </c>
      <c r="C192" t="s">
        <v>656</v>
      </c>
      <c r="D192" t="s">
        <v>836</v>
      </c>
    </row>
    <row r="193" spans="1:4" x14ac:dyDescent="0.15">
      <c r="A193" t="s">
        <v>657</v>
      </c>
      <c r="B193" t="s">
        <v>574</v>
      </c>
      <c r="C193" t="s">
        <v>658</v>
      </c>
      <c r="D193" t="s">
        <v>836</v>
      </c>
    </row>
    <row r="194" spans="1:4" x14ac:dyDescent="0.15">
      <c r="A194" t="s">
        <v>659</v>
      </c>
      <c r="B194" t="s">
        <v>574</v>
      </c>
      <c r="C194" t="s">
        <v>660</v>
      </c>
      <c r="D194" t="s">
        <v>836</v>
      </c>
    </row>
    <row r="195" spans="1:4" x14ac:dyDescent="0.15">
      <c r="A195" t="s">
        <v>667</v>
      </c>
      <c r="B195" t="s">
        <v>574</v>
      </c>
      <c r="C195" t="s">
        <v>748</v>
      </c>
      <c r="D195" t="s">
        <v>836</v>
      </c>
    </row>
    <row r="196" spans="1:4" x14ac:dyDescent="0.15">
      <c r="A196" t="s">
        <v>664</v>
      </c>
      <c r="B196" t="s">
        <v>574</v>
      </c>
      <c r="C196" t="s">
        <v>666</v>
      </c>
      <c r="D196" t="s">
        <v>836</v>
      </c>
    </row>
    <row r="197" spans="1:4" x14ac:dyDescent="0.15">
      <c r="A197" t="s">
        <v>668</v>
      </c>
      <c r="B197" t="s">
        <v>574</v>
      </c>
      <c r="C197" t="s">
        <v>837</v>
      </c>
      <c r="D197" t="s">
        <v>836</v>
      </c>
    </row>
    <row r="198" spans="1:4" x14ac:dyDescent="0.15">
      <c r="A198" t="s">
        <v>669</v>
      </c>
      <c r="B198" t="s">
        <v>574</v>
      </c>
      <c r="C198" t="s">
        <v>670</v>
      </c>
      <c r="D198" t="s">
        <v>836</v>
      </c>
    </row>
    <row r="199" spans="1:4" x14ac:dyDescent="0.15">
      <c r="A199" t="s">
        <v>673</v>
      </c>
      <c r="B199" t="s">
        <v>574</v>
      </c>
      <c r="C199" t="s">
        <v>838</v>
      </c>
      <c r="D199" t="s">
        <v>836</v>
      </c>
    </row>
    <row r="200" spans="1:4" x14ac:dyDescent="0.15">
      <c r="A200" t="s">
        <v>674</v>
      </c>
      <c r="B200" t="s">
        <v>574</v>
      </c>
      <c r="C200" t="s">
        <v>675</v>
      </c>
      <c r="D200" t="s">
        <v>836</v>
      </c>
    </row>
    <row r="201" spans="1:4" x14ac:dyDescent="0.15">
      <c r="A201" t="s">
        <v>803</v>
      </c>
      <c r="B201" t="s">
        <v>574</v>
      </c>
      <c r="C201" t="s">
        <v>804</v>
      </c>
      <c r="D201" t="s">
        <v>836</v>
      </c>
    </row>
    <row r="202" spans="1:4" x14ac:dyDescent="0.15">
      <c r="A202" t="s">
        <v>676</v>
      </c>
      <c r="B202" t="s">
        <v>574</v>
      </c>
      <c r="C202" t="s">
        <v>677</v>
      </c>
      <c r="D202" t="s">
        <v>836</v>
      </c>
    </row>
    <row r="203" spans="1:4" x14ac:dyDescent="0.15">
      <c r="A203" t="s">
        <v>678</v>
      </c>
      <c r="B203" t="s">
        <v>574</v>
      </c>
      <c r="C203" t="s">
        <v>749</v>
      </c>
      <c r="D203" t="s">
        <v>836</v>
      </c>
    </row>
    <row r="204" spans="1:4" x14ac:dyDescent="0.15">
      <c r="A204" t="s">
        <v>138</v>
      </c>
      <c r="B204" t="s">
        <v>131</v>
      </c>
      <c r="C204" t="s">
        <v>139</v>
      </c>
      <c r="D204" t="s">
        <v>67</v>
      </c>
    </row>
    <row r="205" spans="1:4" x14ac:dyDescent="0.15">
      <c r="A205" t="s">
        <v>150</v>
      </c>
      <c r="B205" t="s">
        <v>131</v>
      </c>
      <c r="C205" t="s">
        <v>151</v>
      </c>
      <c r="D205" t="s">
        <v>67</v>
      </c>
    </row>
    <row r="206" spans="1:4" x14ac:dyDescent="0.15">
      <c r="A206" t="s">
        <v>154</v>
      </c>
      <c r="B206" t="s">
        <v>131</v>
      </c>
      <c r="C206" t="s">
        <v>155</v>
      </c>
      <c r="D206" t="s">
        <v>67</v>
      </c>
    </row>
    <row r="207" spans="1:4" x14ac:dyDescent="0.15">
      <c r="A207" t="s">
        <v>158</v>
      </c>
      <c r="B207" t="s">
        <v>131</v>
      </c>
      <c r="C207" t="s">
        <v>159</v>
      </c>
      <c r="D207" t="s">
        <v>67</v>
      </c>
    </row>
    <row r="208" spans="1:4" x14ac:dyDescent="0.15">
      <c r="A208" t="s">
        <v>170</v>
      </c>
      <c r="B208" t="s">
        <v>131</v>
      </c>
      <c r="C208" t="s">
        <v>171</v>
      </c>
      <c r="D208" t="s">
        <v>97</v>
      </c>
    </row>
    <row r="209" spans="1:4" x14ac:dyDescent="0.15">
      <c r="A209" t="s">
        <v>791</v>
      </c>
      <c r="B209" t="s">
        <v>131</v>
      </c>
      <c r="C209" t="s">
        <v>792</v>
      </c>
      <c r="D209" t="s">
        <v>97</v>
      </c>
    </row>
    <row r="210" spans="1:4" x14ac:dyDescent="0.15">
      <c r="A210" t="s">
        <v>195</v>
      </c>
      <c r="B210" t="s">
        <v>131</v>
      </c>
      <c r="C210" t="s">
        <v>196</v>
      </c>
      <c r="D210" t="s">
        <v>99</v>
      </c>
    </row>
    <row r="211" spans="1:4" x14ac:dyDescent="0.15">
      <c r="A211" t="s">
        <v>199</v>
      </c>
      <c r="B211" t="s">
        <v>131</v>
      </c>
      <c r="C211" t="s">
        <v>200</v>
      </c>
      <c r="D211" t="s">
        <v>99</v>
      </c>
    </row>
    <row r="212" spans="1:4" x14ac:dyDescent="0.15">
      <c r="A212" t="s">
        <v>218</v>
      </c>
      <c r="B212" t="s">
        <v>131</v>
      </c>
      <c r="C212" t="s">
        <v>219</v>
      </c>
      <c r="D212" t="s">
        <v>99</v>
      </c>
    </row>
    <row r="213" spans="1:4" x14ac:dyDescent="0.15">
      <c r="A213" t="s">
        <v>226</v>
      </c>
      <c r="B213" t="s">
        <v>131</v>
      </c>
      <c r="C213" t="s">
        <v>227</v>
      </c>
      <c r="D213" t="s">
        <v>99</v>
      </c>
    </row>
    <row r="214" spans="1:4" x14ac:dyDescent="0.15">
      <c r="A214" t="s">
        <v>242</v>
      </c>
      <c r="B214" t="s">
        <v>131</v>
      </c>
      <c r="C214" t="s">
        <v>243</v>
      </c>
      <c r="D214" t="s">
        <v>105</v>
      </c>
    </row>
    <row r="215" spans="1:4" x14ac:dyDescent="0.15">
      <c r="A215" t="s">
        <v>246</v>
      </c>
      <c r="B215" t="s">
        <v>131</v>
      </c>
      <c r="C215" t="s">
        <v>247</v>
      </c>
      <c r="D215" t="s">
        <v>105</v>
      </c>
    </row>
    <row r="216" spans="1:4" x14ac:dyDescent="0.15">
      <c r="A216" t="s">
        <v>254</v>
      </c>
      <c r="B216" t="s">
        <v>131</v>
      </c>
      <c r="C216" t="s">
        <v>255</v>
      </c>
      <c r="D216" t="s">
        <v>111</v>
      </c>
    </row>
    <row r="217" spans="1:4" x14ac:dyDescent="0.15">
      <c r="A217" t="s">
        <v>268</v>
      </c>
      <c r="B217" t="s">
        <v>131</v>
      </c>
      <c r="C217" t="s">
        <v>269</v>
      </c>
      <c r="D217" t="s">
        <v>111</v>
      </c>
    </row>
    <row r="218" spans="1:4" x14ac:dyDescent="0.15">
      <c r="A218" t="s">
        <v>272</v>
      </c>
      <c r="B218" t="s">
        <v>131</v>
      </c>
      <c r="C218" t="s">
        <v>273</v>
      </c>
      <c r="D218" t="s">
        <v>111</v>
      </c>
    </row>
    <row r="219" spans="1:4" x14ac:dyDescent="0.15">
      <c r="A219" t="s">
        <v>279</v>
      </c>
      <c r="B219" t="s">
        <v>131</v>
      </c>
      <c r="C219" t="s">
        <v>280</v>
      </c>
      <c r="D219" t="s">
        <v>111</v>
      </c>
    </row>
    <row r="220" spans="1:4" x14ac:dyDescent="0.15">
      <c r="A220" t="s">
        <v>293</v>
      </c>
      <c r="B220" t="s">
        <v>292</v>
      </c>
      <c r="C220" t="s">
        <v>294</v>
      </c>
      <c r="D220" t="s">
        <v>47</v>
      </c>
    </row>
    <row r="221" spans="1:4" x14ac:dyDescent="0.15">
      <c r="A221" t="s">
        <v>296</v>
      </c>
      <c r="B221" t="s">
        <v>292</v>
      </c>
      <c r="C221" t="s">
        <v>297</v>
      </c>
      <c r="D221" t="s">
        <v>47</v>
      </c>
    </row>
    <row r="222" spans="1:4" x14ac:dyDescent="0.15">
      <c r="A222" t="s">
        <v>298</v>
      </c>
      <c r="B222" t="s">
        <v>292</v>
      </c>
      <c r="C222" t="s">
        <v>299</v>
      </c>
      <c r="D222" t="s">
        <v>47</v>
      </c>
    </row>
    <row r="223" spans="1:4" x14ac:dyDescent="0.15">
      <c r="A223" t="s">
        <v>304</v>
      </c>
      <c r="B223" t="s">
        <v>284</v>
      </c>
      <c r="C223" t="s">
        <v>305</v>
      </c>
      <c r="D223" t="s">
        <v>53</v>
      </c>
    </row>
    <row r="224" spans="1:4" x14ac:dyDescent="0.15">
      <c r="A224" t="s">
        <v>311</v>
      </c>
      <c r="B224" t="s">
        <v>292</v>
      </c>
      <c r="C224" t="s">
        <v>312</v>
      </c>
      <c r="D224" t="s">
        <v>59</v>
      </c>
    </row>
    <row r="225" spans="1:4" x14ac:dyDescent="0.15">
      <c r="A225" t="s">
        <v>328</v>
      </c>
      <c r="B225" t="s">
        <v>292</v>
      </c>
      <c r="C225" t="s">
        <v>329</v>
      </c>
      <c r="D225" t="s">
        <v>85</v>
      </c>
    </row>
    <row r="226" spans="1:4" x14ac:dyDescent="0.15">
      <c r="A226" t="s">
        <v>808</v>
      </c>
      <c r="B226" t="s">
        <v>292</v>
      </c>
      <c r="C226" t="s">
        <v>806</v>
      </c>
      <c r="D226" t="s">
        <v>89</v>
      </c>
    </row>
    <row r="227" spans="1:4" x14ac:dyDescent="0.15">
      <c r="A227" t="s">
        <v>805</v>
      </c>
      <c r="B227" t="s">
        <v>292</v>
      </c>
      <c r="C227" t="s">
        <v>807</v>
      </c>
      <c r="D227" t="s">
        <v>89</v>
      </c>
    </row>
    <row r="228" spans="1:4" x14ac:dyDescent="0.15">
      <c r="A228" t="s">
        <v>351</v>
      </c>
      <c r="B228" t="s">
        <v>292</v>
      </c>
      <c r="C228" t="s">
        <v>352</v>
      </c>
      <c r="D228" t="s">
        <v>89</v>
      </c>
    </row>
    <row r="229" spans="1:4" x14ac:dyDescent="0.15">
      <c r="A229" t="s">
        <v>355</v>
      </c>
      <c r="B229" t="s">
        <v>292</v>
      </c>
      <c r="C229" t="s">
        <v>356</v>
      </c>
      <c r="D229" t="s">
        <v>89</v>
      </c>
    </row>
    <row r="230" spans="1:4" x14ac:dyDescent="0.15">
      <c r="A230" t="s">
        <v>366</v>
      </c>
      <c r="B230" t="s">
        <v>284</v>
      </c>
      <c r="C230" t="s">
        <v>367</v>
      </c>
      <c r="D230" t="s">
        <v>95</v>
      </c>
    </row>
    <row r="231" spans="1:4" x14ac:dyDescent="0.15">
      <c r="A231" t="s">
        <v>371</v>
      </c>
      <c r="B231" t="s">
        <v>284</v>
      </c>
      <c r="C231" t="s">
        <v>372</v>
      </c>
      <c r="D231" t="s">
        <v>95</v>
      </c>
    </row>
    <row r="232" spans="1:4" x14ac:dyDescent="0.15">
      <c r="A232" t="s">
        <v>394</v>
      </c>
      <c r="B232" t="s">
        <v>284</v>
      </c>
      <c r="C232" t="s">
        <v>395</v>
      </c>
      <c r="D232" t="s">
        <v>117</v>
      </c>
    </row>
    <row r="233" spans="1:4" x14ac:dyDescent="0.15">
      <c r="A233" t="s">
        <v>398</v>
      </c>
      <c r="B233" t="s">
        <v>284</v>
      </c>
      <c r="C233" t="s">
        <v>399</v>
      </c>
      <c r="D233" t="s">
        <v>117</v>
      </c>
    </row>
    <row r="234" spans="1:4" x14ac:dyDescent="0.15">
      <c r="A234" t="s">
        <v>400</v>
      </c>
      <c r="B234" t="s">
        <v>284</v>
      </c>
      <c r="C234" t="s">
        <v>401</v>
      </c>
      <c r="D234" t="s">
        <v>117</v>
      </c>
    </row>
    <row r="235" spans="1:4" x14ac:dyDescent="0.15">
      <c r="A235" t="s">
        <v>411</v>
      </c>
      <c r="B235" t="s">
        <v>292</v>
      </c>
      <c r="C235" t="s">
        <v>412</v>
      </c>
      <c r="D235" t="s">
        <v>123</v>
      </c>
    </row>
    <row r="236" spans="1:4" x14ac:dyDescent="0.15">
      <c r="A236" t="s">
        <v>413</v>
      </c>
      <c r="B236" t="s">
        <v>414</v>
      </c>
      <c r="C236" t="s">
        <v>415</v>
      </c>
      <c r="D236" t="s">
        <v>55</v>
      </c>
    </row>
    <row r="237" spans="1:4" x14ac:dyDescent="0.15">
      <c r="A237" t="s">
        <v>420</v>
      </c>
      <c r="B237" t="s">
        <v>414</v>
      </c>
      <c r="C237" t="s">
        <v>421</v>
      </c>
      <c r="D237" t="s">
        <v>55</v>
      </c>
    </row>
    <row r="238" spans="1:4" x14ac:dyDescent="0.15">
      <c r="A238" t="s">
        <v>431</v>
      </c>
      <c r="B238" t="s">
        <v>414</v>
      </c>
      <c r="C238" t="s">
        <v>432</v>
      </c>
      <c r="D238" t="s">
        <v>55</v>
      </c>
    </row>
    <row r="239" spans="1:4" x14ac:dyDescent="0.15">
      <c r="A239" t="s">
        <v>442</v>
      </c>
      <c r="B239" t="s">
        <v>443</v>
      </c>
      <c r="C239" t="s">
        <v>444</v>
      </c>
      <c r="D239" t="s">
        <v>61</v>
      </c>
    </row>
    <row r="240" spans="1:4" x14ac:dyDescent="0.15">
      <c r="A240" t="s">
        <v>457</v>
      </c>
      <c r="B240" t="s">
        <v>443</v>
      </c>
      <c r="C240" t="s">
        <v>458</v>
      </c>
      <c r="D240" t="s">
        <v>61</v>
      </c>
    </row>
    <row r="241" spans="1:4" x14ac:dyDescent="0.15">
      <c r="A241" t="s">
        <v>465</v>
      </c>
      <c r="B241" t="s">
        <v>414</v>
      </c>
      <c r="C241" t="s">
        <v>466</v>
      </c>
      <c r="D241" t="s">
        <v>73</v>
      </c>
    </row>
    <row r="242" spans="1:4" x14ac:dyDescent="0.15">
      <c r="A242" t="s">
        <v>467</v>
      </c>
      <c r="B242" t="s">
        <v>414</v>
      </c>
      <c r="C242" t="s">
        <v>468</v>
      </c>
      <c r="D242" t="s">
        <v>73</v>
      </c>
    </row>
    <row r="243" spans="1:4" x14ac:dyDescent="0.15">
      <c r="A243" t="s">
        <v>471</v>
      </c>
      <c r="B243" t="s">
        <v>414</v>
      </c>
      <c r="C243" t="s">
        <v>472</v>
      </c>
      <c r="D243" t="s">
        <v>73</v>
      </c>
    </row>
    <row r="244" spans="1:4" x14ac:dyDescent="0.15">
      <c r="A244" t="s">
        <v>473</v>
      </c>
      <c r="B244" t="s">
        <v>414</v>
      </c>
      <c r="C244" t="s">
        <v>474</v>
      </c>
      <c r="D244" t="s">
        <v>73</v>
      </c>
    </row>
    <row r="245" spans="1:4" x14ac:dyDescent="0.15">
      <c r="A245" t="s">
        <v>482</v>
      </c>
      <c r="B245" t="s">
        <v>414</v>
      </c>
      <c r="C245" t="s">
        <v>483</v>
      </c>
      <c r="D245" t="s">
        <v>73</v>
      </c>
    </row>
    <row r="246" spans="1:4" x14ac:dyDescent="0.15">
      <c r="A246" t="s">
        <v>496</v>
      </c>
      <c r="B246" t="s">
        <v>443</v>
      </c>
      <c r="C246" t="s">
        <v>497</v>
      </c>
      <c r="D246" t="s">
        <v>83</v>
      </c>
    </row>
    <row r="247" spans="1:4" x14ac:dyDescent="0.15">
      <c r="A247" t="s">
        <v>504</v>
      </c>
      <c r="B247" t="s">
        <v>443</v>
      </c>
      <c r="C247" t="s">
        <v>505</v>
      </c>
      <c r="D247" t="s">
        <v>83</v>
      </c>
    </row>
    <row r="248" spans="1:4" x14ac:dyDescent="0.15">
      <c r="A248" t="s">
        <v>508</v>
      </c>
      <c r="B248" t="s">
        <v>443</v>
      </c>
      <c r="C248" t="s">
        <v>509</v>
      </c>
      <c r="D248" t="s">
        <v>83</v>
      </c>
    </row>
    <row r="249" spans="1:4" x14ac:dyDescent="0.15">
      <c r="A249" t="s">
        <v>517</v>
      </c>
      <c r="B249" t="s">
        <v>443</v>
      </c>
      <c r="C249" t="s">
        <v>518</v>
      </c>
      <c r="D249" t="s">
        <v>83</v>
      </c>
    </row>
    <row r="250" spans="1:4" x14ac:dyDescent="0.15">
      <c r="A250" t="s">
        <v>535</v>
      </c>
      <c r="B250" t="s">
        <v>443</v>
      </c>
      <c r="C250" t="s">
        <v>536</v>
      </c>
      <c r="D250" t="s">
        <v>125</v>
      </c>
    </row>
    <row r="251" spans="1:4" x14ac:dyDescent="0.15">
      <c r="A251" t="s">
        <v>543</v>
      </c>
      <c r="B251" t="s">
        <v>443</v>
      </c>
      <c r="C251" t="s">
        <v>544</v>
      </c>
      <c r="D251" t="s">
        <v>125</v>
      </c>
    </row>
    <row r="252" spans="1:4" x14ac:dyDescent="0.15">
      <c r="A252" t="s">
        <v>545</v>
      </c>
      <c r="B252" t="s">
        <v>443</v>
      </c>
      <c r="C252" t="s">
        <v>546</v>
      </c>
      <c r="D252" t="s">
        <v>125</v>
      </c>
    </row>
    <row r="253" spans="1:4" x14ac:dyDescent="0.15">
      <c r="A253" t="s">
        <v>549</v>
      </c>
      <c r="B253" t="s">
        <v>550</v>
      </c>
      <c r="C253" t="s">
        <v>551</v>
      </c>
      <c r="D253" t="s">
        <v>43</v>
      </c>
    </row>
    <row r="254" spans="1:4" x14ac:dyDescent="0.15">
      <c r="A254" t="s">
        <v>554</v>
      </c>
      <c r="B254" t="s">
        <v>550</v>
      </c>
      <c r="C254" t="s">
        <v>555</v>
      </c>
      <c r="D254" t="s">
        <v>43</v>
      </c>
    </row>
    <row r="255" spans="1:4" x14ac:dyDescent="0.15">
      <c r="A255" t="s">
        <v>561</v>
      </c>
      <c r="B255" t="s">
        <v>550</v>
      </c>
      <c r="C255" t="s">
        <v>562</v>
      </c>
      <c r="D255" t="s">
        <v>43</v>
      </c>
    </row>
    <row r="256" spans="1:4" x14ac:dyDescent="0.15">
      <c r="A256" t="s">
        <v>563</v>
      </c>
      <c r="B256" t="s">
        <v>550</v>
      </c>
      <c r="C256" t="s">
        <v>564</v>
      </c>
      <c r="D256" t="s">
        <v>43</v>
      </c>
    </row>
    <row r="257" spans="1:4" x14ac:dyDescent="0.15">
      <c r="A257" t="s">
        <v>571</v>
      </c>
      <c r="B257" t="s">
        <v>550</v>
      </c>
      <c r="C257" t="s">
        <v>572</v>
      </c>
      <c r="D257" t="s">
        <v>49</v>
      </c>
    </row>
    <row r="258" spans="1:4" x14ac:dyDescent="0.15">
      <c r="A258" t="s">
        <v>573</v>
      </c>
      <c r="B258" t="s">
        <v>574</v>
      </c>
      <c r="C258" t="s">
        <v>575</v>
      </c>
      <c r="D258" t="s">
        <v>51</v>
      </c>
    </row>
    <row r="259" spans="1:4" x14ac:dyDescent="0.15">
      <c r="A259" t="s">
        <v>592</v>
      </c>
      <c r="B259" t="s">
        <v>550</v>
      </c>
      <c r="C259" t="s">
        <v>593</v>
      </c>
      <c r="D259" t="s">
        <v>63</v>
      </c>
    </row>
    <row r="260" spans="1:4" x14ac:dyDescent="0.15">
      <c r="A260" t="s">
        <v>594</v>
      </c>
      <c r="B260" t="s">
        <v>550</v>
      </c>
      <c r="C260" t="s">
        <v>595</v>
      </c>
      <c r="D260" t="s">
        <v>63</v>
      </c>
    </row>
    <row r="261" spans="1:4" x14ac:dyDescent="0.15">
      <c r="A261" t="s">
        <v>611</v>
      </c>
      <c r="B261" t="s">
        <v>550</v>
      </c>
      <c r="C261" t="s">
        <v>612</v>
      </c>
      <c r="D261" t="s">
        <v>65</v>
      </c>
    </row>
    <row r="262" spans="1:4" x14ac:dyDescent="0.15">
      <c r="A262" t="s">
        <v>611</v>
      </c>
      <c r="B262" t="s">
        <v>550</v>
      </c>
      <c r="C262" t="s">
        <v>612</v>
      </c>
      <c r="D262" t="s">
        <v>65</v>
      </c>
    </row>
    <row r="263" spans="1:4" x14ac:dyDescent="0.15">
      <c r="A263" t="s">
        <v>615</v>
      </c>
      <c r="B263" t="s">
        <v>574</v>
      </c>
      <c r="C263" t="s">
        <v>616</v>
      </c>
      <c r="D263" t="s">
        <v>69</v>
      </c>
    </row>
    <row r="264" spans="1:4" x14ac:dyDescent="0.15">
      <c r="A264" t="s">
        <v>797</v>
      </c>
      <c r="B264" t="s">
        <v>574</v>
      </c>
      <c r="C264" t="s">
        <v>796</v>
      </c>
      <c r="D264" t="s">
        <v>87</v>
      </c>
    </row>
    <row r="265" spans="1:4" x14ac:dyDescent="0.15">
      <c r="A265" t="s">
        <v>650</v>
      </c>
      <c r="B265" t="s">
        <v>550</v>
      </c>
      <c r="C265" t="s">
        <v>651</v>
      </c>
      <c r="D265" t="s">
        <v>109</v>
      </c>
    </row>
    <row r="266" spans="1:4" x14ac:dyDescent="0.15">
      <c r="A266" t="s">
        <v>653</v>
      </c>
      <c r="B266" t="s">
        <v>574</v>
      </c>
      <c r="C266" t="s">
        <v>654</v>
      </c>
      <c r="D266" t="s">
        <v>119</v>
      </c>
    </row>
    <row r="267" spans="1:4" x14ac:dyDescent="0.15">
      <c r="A267" t="s">
        <v>661</v>
      </c>
      <c r="B267" t="s">
        <v>574</v>
      </c>
      <c r="C267" t="s">
        <v>662</v>
      </c>
      <c r="D267" t="s">
        <v>119</v>
      </c>
    </row>
    <row r="268" spans="1:4" x14ac:dyDescent="0.15">
      <c r="A268" t="s">
        <v>663</v>
      </c>
      <c r="B268" t="s">
        <v>574</v>
      </c>
      <c r="C268" t="s">
        <v>662</v>
      </c>
      <c r="D268" t="s">
        <v>119</v>
      </c>
    </row>
    <row r="269" spans="1:4" x14ac:dyDescent="0.15">
      <c r="A269" t="s">
        <v>665</v>
      </c>
      <c r="B269" t="s">
        <v>574</v>
      </c>
      <c r="C269" t="s">
        <v>666</v>
      </c>
      <c r="D269" t="s">
        <v>119</v>
      </c>
    </row>
    <row r="270" spans="1:4" s="114" customFormat="1" x14ac:dyDescent="0.15">
      <c r="A270" t="s">
        <v>671</v>
      </c>
      <c r="B270" t="s">
        <v>574</v>
      </c>
      <c r="C270" t="s">
        <v>672</v>
      </c>
      <c r="D270" t="s">
        <v>121</v>
      </c>
    </row>
  </sheetData>
  <autoFilter ref="A3:H273" xr:uid="{C188F608-904D-8743-9961-DA7AE4A4D28E}"/>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5144-1C97-E044-9F6D-11FEB088E06A}">
  <sheetPr codeName="Sheet7"/>
  <dimension ref="B1:AC230"/>
  <sheetViews>
    <sheetView showGridLines="0" topLeftCell="B1" zoomScale="85" zoomScaleNormal="85" zoomScaleSheetLayoutView="25" workbookViewId="0">
      <selection activeCell="C154" sqref="C154"/>
    </sheetView>
  </sheetViews>
  <sheetFormatPr baseColWidth="10" defaultColWidth="9.1640625" defaultRowHeight="13" x14ac:dyDescent="0.15"/>
  <cols>
    <col min="1" max="1" width="1.83203125" style="3" customWidth="1"/>
    <col min="2" max="2" width="13.1640625" style="3" customWidth="1"/>
    <col min="3" max="3" width="48.83203125" style="3" customWidth="1"/>
    <col min="4" max="4" width="69.5" style="3" customWidth="1"/>
    <col min="5" max="5" width="18.1640625" style="3" customWidth="1"/>
    <col min="6" max="6" width="18.5" style="3" customWidth="1"/>
    <col min="7" max="26" width="16.1640625" style="3" customWidth="1"/>
    <col min="27" max="27" width="22.5" style="3" customWidth="1"/>
    <col min="28" max="28" width="20.83203125" style="3" customWidth="1"/>
    <col min="29" max="29" width="37.5" style="3" hidden="1" customWidth="1"/>
    <col min="30" max="30" width="23.5" style="3" customWidth="1"/>
    <col min="31" max="16384" width="9.1640625" style="3"/>
  </cols>
  <sheetData>
    <row r="1" spans="2:28" s="53" customFormat="1" ht="18" customHeight="1" x14ac:dyDescent="0.2">
      <c r="E1" s="53">
        <v>4</v>
      </c>
      <c r="F1" s="53">
        <v>5</v>
      </c>
      <c r="G1" s="53">
        <v>6</v>
      </c>
      <c r="M1" s="53">
        <v>10</v>
      </c>
      <c r="N1" s="53">
        <v>11</v>
      </c>
      <c r="O1" s="53">
        <v>12</v>
      </c>
      <c r="U1" s="53">
        <v>18</v>
      </c>
      <c r="V1" s="53">
        <v>19</v>
      </c>
      <c r="W1" s="53">
        <v>20</v>
      </c>
      <c r="Y1" s="53">
        <v>21</v>
      </c>
      <c r="AA1" s="53">
        <v>16</v>
      </c>
      <c r="AB1" s="53">
        <v>17</v>
      </c>
    </row>
    <row r="2" spans="2:28" ht="19.5" customHeight="1" x14ac:dyDescent="0.2">
      <c r="B2" s="5" t="s">
        <v>0</v>
      </c>
      <c r="C2" s="182" t="s">
        <v>1</v>
      </c>
      <c r="D2" s="182"/>
      <c r="E2" s="72">
        <v>7</v>
      </c>
      <c r="F2" s="72">
        <v>8</v>
      </c>
      <c r="G2" s="72">
        <v>9</v>
      </c>
      <c r="H2" s="72"/>
      <c r="I2" s="7"/>
      <c r="J2" s="7"/>
      <c r="K2" s="7"/>
      <c r="L2" s="7"/>
      <c r="M2" s="72">
        <v>13</v>
      </c>
      <c r="N2" s="72">
        <v>14</v>
      </c>
      <c r="O2" s="72">
        <v>15</v>
      </c>
    </row>
    <row r="3" spans="2:28" ht="27" customHeight="1" x14ac:dyDescent="0.2">
      <c r="B3" s="5"/>
      <c r="C3" s="182"/>
      <c r="D3" s="182"/>
      <c r="E3" s="13"/>
      <c r="F3" s="13"/>
      <c r="H3" s="7"/>
      <c r="I3" s="7"/>
      <c r="J3" s="7"/>
      <c r="K3" s="7"/>
      <c r="L3" s="7"/>
      <c r="M3" s="8"/>
    </row>
    <row r="4" spans="2:28" ht="66" customHeight="1" x14ac:dyDescent="0.15">
      <c r="B4" s="110" t="s">
        <v>2</v>
      </c>
      <c r="C4" s="190" t="s">
        <v>680</v>
      </c>
      <c r="D4" s="190"/>
      <c r="E4" s="15"/>
      <c r="F4" s="15"/>
      <c r="H4" s="7"/>
      <c r="I4" s="7"/>
      <c r="J4" s="7"/>
      <c r="K4" s="7"/>
      <c r="L4" s="7"/>
      <c r="M4" s="6"/>
    </row>
    <row r="5" spans="2:28" ht="12.75" customHeight="1" x14ac:dyDescent="0.15">
      <c r="B5" s="5"/>
      <c r="C5" s="15"/>
      <c r="D5" s="15"/>
      <c r="E5" s="15"/>
      <c r="F5" s="15"/>
      <c r="H5" s="7"/>
      <c r="I5" s="7"/>
      <c r="J5" s="7"/>
      <c r="K5" s="7"/>
      <c r="L5" s="7"/>
    </row>
    <row r="6" spans="2:28" ht="16" x14ac:dyDescent="0.2">
      <c r="B6" s="5" t="s">
        <v>4</v>
      </c>
      <c r="C6" s="16" t="s">
        <v>875</v>
      </c>
      <c r="D6" s="16"/>
      <c r="E6" s="16"/>
      <c r="F6" s="12"/>
      <c r="H6" s="7"/>
      <c r="I6" s="7"/>
      <c r="J6" s="7"/>
      <c r="K6" s="7"/>
      <c r="L6" s="7"/>
    </row>
    <row r="7" spans="2:28" ht="23.25" customHeight="1" x14ac:dyDescent="0.15">
      <c r="B7" s="5" t="s">
        <v>5</v>
      </c>
      <c r="C7" s="17" t="s">
        <v>6</v>
      </c>
      <c r="D7" s="17"/>
      <c r="E7" s="17"/>
      <c r="H7" s="7"/>
      <c r="I7" s="7"/>
      <c r="J7" s="7"/>
      <c r="K7" s="7"/>
      <c r="L7" s="7"/>
    </row>
    <row r="8" spans="2:28" ht="12.75" customHeight="1" x14ac:dyDescent="0.15">
      <c r="B8" s="5" t="s">
        <v>7</v>
      </c>
      <c r="C8" s="3" t="s">
        <v>8</v>
      </c>
      <c r="H8" s="7"/>
      <c r="I8" s="7"/>
      <c r="J8" s="7"/>
      <c r="K8" s="7"/>
      <c r="L8" s="7"/>
    </row>
    <row r="9" spans="2:28" ht="12.75" customHeight="1" x14ac:dyDescent="0.15">
      <c r="B9" s="5" t="s">
        <v>9</v>
      </c>
      <c r="C9" s="3" t="s">
        <v>853</v>
      </c>
      <c r="H9" s="26"/>
      <c r="I9" s="26"/>
      <c r="J9" s="26"/>
      <c r="K9" s="26"/>
      <c r="L9" s="7"/>
    </row>
    <row r="10" spans="2:28" ht="12.75" customHeight="1" x14ac:dyDescent="0.15">
      <c r="B10" s="5" t="s">
        <v>10</v>
      </c>
      <c r="C10" s="18"/>
      <c r="D10" s="18"/>
      <c r="E10" s="18"/>
      <c r="H10" s="7"/>
      <c r="I10" s="7"/>
      <c r="J10" s="7"/>
      <c r="K10" s="7"/>
      <c r="L10" s="7"/>
    </row>
    <row r="11" spans="2:28" ht="12.75" customHeight="1" x14ac:dyDescent="0.15">
      <c r="B11" s="5" t="s">
        <v>11</v>
      </c>
      <c r="C11" s="3" t="s">
        <v>12</v>
      </c>
      <c r="H11" s="7"/>
      <c r="I11" s="7"/>
      <c r="J11" s="7"/>
      <c r="K11" s="7"/>
      <c r="L11" s="7"/>
    </row>
    <row r="12" spans="2:28" ht="12.75" customHeight="1" x14ac:dyDescent="0.15">
      <c r="B12" s="5" t="s">
        <v>13</v>
      </c>
      <c r="C12" s="3" t="s">
        <v>14</v>
      </c>
      <c r="H12" s="9"/>
      <c r="I12" s="9"/>
      <c r="J12" s="9"/>
      <c r="K12" s="9"/>
      <c r="L12" s="9"/>
    </row>
    <row r="13" spans="2:28" x14ac:dyDescent="0.15">
      <c r="B13" s="5"/>
    </row>
    <row r="14" spans="2:28" ht="16" x14ac:dyDescent="0.2">
      <c r="B14" s="14" t="s">
        <v>681</v>
      </c>
      <c r="E14" s="27"/>
      <c r="F14" s="27"/>
      <c r="G14" s="27"/>
      <c r="H14" s="27"/>
      <c r="I14" s="27"/>
      <c r="J14" s="27"/>
      <c r="K14" s="27"/>
      <c r="L14" s="27"/>
      <c r="M14" s="27"/>
      <c r="N14" s="27"/>
      <c r="O14" s="27"/>
      <c r="P14" s="27"/>
      <c r="Q14" s="27"/>
      <c r="R14" s="27"/>
      <c r="S14" s="27"/>
      <c r="T14" s="27"/>
      <c r="U14" s="27"/>
      <c r="V14" s="27"/>
      <c r="W14" s="27"/>
      <c r="X14" s="27"/>
      <c r="Y14" s="27"/>
      <c r="Z14" s="27"/>
      <c r="AA14" s="27"/>
      <c r="AB14" s="27"/>
    </row>
    <row r="15" spans="2:28" ht="30" customHeight="1" x14ac:dyDescent="0.2">
      <c r="B15" s="14"/>
      <c r="C15" s="19"/>
      <c r="D15" s="19"/>
      <c r="E15" s="184" t="s">
        <v>16</v>
      </c>
      <c r="F15" s="185"/>
      <c r="G15" s="185"/>
      <c r="H15" s="186"/>
      <c r="I15" s="187" t="s">
        <v>682</v>
      </c>
      <c r="J15" s="188"/>
      <c r="K15" s="188"/>
      <c r="L15" s="189"/>
      <c r="M15" s="187" t="s">
        <v>683</v>
      </c>
      <c r="N15" s="188"/>
      <c r="O15" s="188"/>
      <c r="P15" s="188"/>
      <c r="Q15" s="187" t="s">
        <v>19</v>
      </c>
      <c r="R15" s="188"/>
      <c r="S15" s="188"/>
      <c r="T15" s="189"/>
      <c r="U15" s="183" t="s">
        <v>20</v>
      </c>
      <c r="V15" s="183"/>
      <c r="W15" s="183"/>
      <c r="X15" s="183"/>
      <c r="Y15" s="183"/>
      <c r="Z15" s="183"/>
      <c r="AA15" s="183"/>
      <c r="AB15" s="183"/>
    </row>
    <row r="16" spans="2:28" s="25" customFormat="1" ht="65.25" customHeight="1" x14ac:dyDescent="0.15">
      <c r="B16" s="23" t="s">
        <v>21</v>
      </c>
      <c r="C16" s="23" t="s">
        <v>684</v>
      </c>
      <c r="D16" s="23" t="s">
        <v>128</v>
      </c>
      <c r="E16" s="24" t="s">
        <v>23</v>
      </c>
      <c r="F16" s="24" t="s">
        <v>24</v>
      </c>
      <c r="G16" s="24" t="s">
        <v>25</v>
      </c>
      <c r="H16" s="24" t="s">
        <v>26</v>
      </c>
      <c r="I16" s="24" t="s">
        <v>23</v>
      </c>
      <c r="J16" s="24" t="s">
        <v>24</v>
      </c>
      <c r="K16" s="24" t="s">
        <v>25</v>
      </c>
      <c r="L16" s="24" t="s">
        <v>27</v>
      </c>
      <c r="M16" s="24" t="s">
        <v>23</v>
      </c>
      <c r="N16" s="24" t="s">
        <v>24</v>
      </c>
      <c r="O16" s="24" t="s">
        <v>25</v>
      </c>
      <c r="P16" s="24" t="s">
        <v>28</v>
      </c>
      <c r="Q16" s="24" t="s">
        <v>29</v>
      </c>
      <c r="R16" s="24" t="s">
        <v>30</v>
      </c>
      <c r="S16" s="24" t="s">
        <v>31</v>
      </c>
      <c r="T16" s="24" t="s">
        <v>32</v>
      </c>
      <c r="U16" s="24" t="s">
        <v>33</v>
      </c>
      <c r="V16" s="24" t="s">
        <v>34</v>
      </c>
      <c r="W16" s="24" t="s">
        <v>35</v>
      </c>
      <c r="X16" s="24" t="s">
        <v>36</v>
      </c>
      <c r="Y16" s="24" t="s">
        <v>37</v>
      </c>
      <c r="Z16" s="24" t="s">
        <v>38</v>
      </c>
      <c r="AA16" s="24" t="s">
        <v>39</v>
      </c>
      <c r="AB16" s="24" t="s">
        <v>40</v>
      </c>
    </row>
    <row r="17" spans="2:29" x14ac:dyDescent="0.15">
      <c r="B17" s="1" t="s">
        <v>41</v>
      </c>
      <c r="C17" s="1" t="s">
        <v>41</v>
      </c>
      <c r="D17" s="44" t="s">
        <v>685</v>
      </c>
      <c r="E17" s="2">
        <v>1503149</v>
      </c>
      <c r="F17" s="2">
        <v>55513</v>
      </c>
      <c r="G17" s="2">
        <v>886081</v>
      </c>
      <c r="H17" s="2">
        <v>2444743</v>
      </c>
      <c r="I17" s="2">
        <v>910567</v>
      </c>
      <c r="J17" s="2">
        <v>52395</v>
      </c>
      <c r="K17" s="2">
        <v>855030</v>
      </c>
      <c r="L17" s="2">
        <v>1817992</v>
      </c>
      <c r="M17" s="2">
        <v>592582</v>
      </c>
      <c r="N17" s="2">
        <v>3118</v>
      </c>
      <c r="O17" s="2">
        <v>31051</v>
      </c>
      <c r="P17" s="2">
        <v>626751</v>
      </c>
      <c r="Q17" s="61">
        <v>0.7436331753480836</v>
      </c>
      <c r="R17" s="61">
        <v>0.6057729473259138</v>
      </c>
      <c r="S17" s="61">
        <v>0.94383297605966165</v>
      </c>
      <c r="T17" s="61">
        <v>0.96495692831693713</v>
      </c>
      <c r="U17" s="2">
        <v>394675</v>
      </c>
      <c r="V17" s="2">
        <v>1534</v>
      </c>
      <c r="W17" s="2">
        <v>5107</v>
      </c>
      <c r="X17" s="2">
        <v>401316</v>
      </c>
      <c r="Y17" s="2">
        <v>134842</v>
      </c>
      <c r="Z17" s="2">
        <v>536158</v>
      </c>
      <c r="AA17" s="2">
        <v>129199</v>
      </c>
      <c r="AB17" s="2">
        <v>50582</v>
      </c>
    </row>
    <row r="18" spans="2:29" ht="6.75" customHeight="1" x14ac:dyDescent="0.15">
      <c r="C18" s="11"/>
      <c r="D18" s="11"/>
      <c r="E18" s="11"/>
      <c r="F18" s="11"/>
      <c r="G18" s="11"/>
      <c r="H18" s="11"/>
      <c r="I18" s="11"/>
      <c r="J18" s="11"/>
      <c r="K18" s="11"/>
      <c r="L18" s="11"/>
      <c r="M18" s="11"/>
      <c r="N18" s="11"/>
      <c r="O18" s="11"/>
      <c r="P18" s="28"/>
      <c r="Q18" s="11"/>
      <c r="R18" s="11"/>
      <c r="S18" s="11"/>
      <c r="T18" s="28"/>
      <c r="U18" s="11"/>
      <c r="V18" s="11"/>
      <c r="W18" s="11"/>
      <c r="X18" s="28"/>
      <c r="Y18" s="11"/>
      <c r="Z18" s="28"/>
      <c r="AA18" s="11"/>
      <c r="AB18" s="11"/>
    </row>
    <row r="19" spans="2:29" x14ac:dyDescent="0.15">
      <c r="B19" s="47" t="s">
        <v>283</v>
      </c>
      <c r="C19" s="47" t="s">
        <v>874</v>
      </c>
      <c r="D19" s="29" t="s">
        <v>285</v>
      </c>
      <c r="E19" s="30">
        <v>18509</v>
      </c>
      <c r="F19" s="30">
        <v>0</v>
      </c>
      <c r="G19" s="30">
        <v>8667</v>
      </c>
      <c r="H19" s="30">
        <v>27176</v>
      </c>
      <c r="I19" s="30">
        <v>11566</v>
      </c>
      <c r="J19" s="30">
        <v>0</v>
      </c>
      <c r="K19" s="30">
        <v>8667</v>
      </c>
      <c r="L19" s="30">
        <v>20233</v>
      </c>
      <c r="M19" s="30">
        <v>6943</v>
      </c>
      <c r="N19" s="30">
        <v>0</v>
      </c>
      <c r="O19" s="30">
        <v>0</v>
      </c>
      <c r="P19" s="30">
        <v>6943</v>
      </c>
      <c r="Q19" s="55">
        <v>0.74451722107742124</v>
      </c>
      <c r="R19" s="55">
        <v>0.62488519098816797</v>
      </c>
      <c r="S19" s="55" t="s">
        <v>41</v>
      </c>
      <c r="T19" s="55">
        <v>1</v>
      </c>
      <c r="U19" s="115">
        <v>5154</v>
      </c>
      <c r="V19" s="115">
        <v>0</v>
      </c>
      <c r="W19" s="115">
        <v>0</v>
      </c>
      <c r="X19" s="115">
        <v>5154</v>
      </c>
      <c r="Y19" s="115">
        <v>2480</v>
      </c>
      <c r="Z19" s="115">
        <v>7634</v>
      </c>
      <c r="AA19" s="115">
        <v>166</v>
      </c>
      <c r="AB19" s="115">
        <v>85</v>
      </c>
      <c r="AC19" s="10" t="s">
        <v>809</v>
      </c>
    </row>
    <row r="20" spans="2:29" x14ac:dyDescent="0.15">
      <c r="B20" s="105" t="s">
        <v>302</v>
      </c>
      <c r="C20" s="105" t="s">
        <v>874</v>
      </c>
      <c r="D20" s="32" t="s">
        <v>303</v>
      </c>
      <c r="E20" s="33">
        <v>12085</v>
      </c>
      <c r="F20" s="33">
        <v>0</v>
      </c>
      <c r="G20" s="33">
        <v>5862</v>
      </c>
      <c r="H20" s="33">
        <v>17947</v>
      </c>
      <c r="I20" s="33">
        <v>6528</v>
      </c>
      <c r="J20" s="33">
        <v>0</v>
      </c>
      <c r="K20" s="33">
        <v>5762</v>
      </c>
      <c r="L20" s="33">
        <v>12290</v>
      </c>
      <c r="M20" s="33">
        <v>5557</v>
      </c>
      <c r="N20" s="33">
        <v>0</v>
      </c>
      <c r="O20" s="33">
        <v>100</v>
      </c>
      <c r="P20" s="33">
        <v>5657</v>
      </c>
      <c r="Q20" s="56">
        <v>0.68479411600824647</v>
      </c>
      <c r="R20" s="56">
        <v>0.54017376913529169</v>
      </c>
      <c r="S20" s="56" t="s">
        <v>41</v>
      </c>
      <c r="T20" s="56">
        <v>0.98294097577618555</v>
      </c>
      <c r="U20" s="116">
        <v>3007</v>
      </c>
      <c r="V20" s="116">
        <v>0</v>
      </c>
      <c r="W20" s="116">
        <v>35</v>
      </c>
      <c r="X20" s="116">
        <v>3042</v>
      </c>
      <c r="Y20" s="116">
        <v>422</v>
      </c>
      <c r="Z20" s="116">
        <v>3464</v>
      </c>
      <c r="AA20" s="116">
        <v>784</v>
      </c>
      <c r="AB20" s="116">
        <v>262</v>
      </c>
      <c r="AC20" s="10" t="s">
        <v>809</v>
      </c>
    </row>
    <row r="21" spans="2:29" x14ac:dyDescent="0.15">
      <c r="B21" s="105" t="s">
        <v>320</v>
      </c>
      <c r="C21" s="105" t="s">
        <v>874</v>
      </c>
      <c r="D21" s="32" t="s">
        <v>865</v>
      </c>
      <c r="E21" s="33">
        <v>9588</v>
      </c>
      <c r="F21" s="33">
        <v>0</v>
      </c>
      <c r="G21" s="33">
        <v>9229</v>
      </c>
      <c r="H21" s="33">
        <v>18817</v>
      </c>
      <c r="I21" s="33">
        <v>4512</v>
      </c>
      <c r="J21" s="33">
        <v>0</v>
      </c>
      <c r="K21" s="33">
        <v>9107</v>
      </c>
      <c r="L21" s="33">
        <v>13619</v>
      </c>
      <c r="M21" s="33">
        <v>5076</v>
      </c>
      <c r="N21" s="33">
        <v>0</v>
      </c>
      <c r="O21" s="33">
        <v>122</v>
      </c>
      <c r="P21" s="33">
        <v>5198</v>
      </c>
      <c r="Q21" s="56">
        <v>0.7237604293989478</v>
      </c>
      <c r="R21" s="56">
        <v>0.47058823529411764</v>
      </c>
      <c r="S21" s="56" t="s">
        <v>41</v>
      </c>
      <c r="T21" s="56">
        <v>0.98678079965326693</v>
      </c>
      <c r="U21" s="116">
        <v>2198</v>
      </c>
      <c r="V21" s="116">
        <v>0</v>
      </c>
      <c r="W21" s="116">
        <v>3</v>
      </c>
      <c r="X21" s="116">
        <v>2201</v>
      </c>
      <c r="Y21" s="116">
        <v>425</v>
      </c>
      <c r="Z21" s="116">
        <v>2626</v>
      </c>
      <c r="AA21" s="116">
        <v>526</v>
      </c>
      <c r="AB21" s="116">
        <v>89</v>
      </c>
      <c r="AC21" s="10" t="s">
        <v>809</v>
      </c>
    </row>
    <row r="22" spans="2:29" x14ac:dyDescent="0.15">
      <c r="B22" s="105" t="s">
        <v>396</v>
      </c>
      <c r="C22" s="105" t="s">
        <v>874</v>
      </c>
      <c r="D22" s="32" t="s">
        <v>397</v>
      </c>
      <c r="E22" s="33">
        <v>12846</v>
      </c>
      <c r="F22" s="33">
        <v>0</v>
      </c>
      <c r="G22" s="33">
        <v>12888</v>
      </c>
      <c r="H22" s="33">
        <v>25734</v>
      </c>
      <c r="I22" s="33">
        <v>7552</v>
      </c>
      <c r="J22" s="33">
        <v>0</v>
      </c>
      <c r="K22" s="33">
        <v>11936</v>
      </c>
      <c r="L22" s="33">
        <v>19488</v>
      </c>
      <c r="M22" s="33">
        <v>5294</v>
      </c>
      <c r="N22" s="33">
        <v>0</v>
      </c>
      <c r="O22" s="33">
        <v>952</v>
      </c>
      <c r="P22" s="33">
        <v>6246</v>
      </c>
      <c r="Q22" s="56">
        <v>0.75728608067148517</v>
      </c>
      <c r="R22" s="56">
        <v>0.58788728008718671</v>
      </c>
      <c r="S22" s="56" t="s">
        <v>41</v>
      </c>
      <c r="T22" s="56">
        <v>0.92613283674736191</v>
      </c>
      <c r="U22" s="116">
        <v>5016</v>
      </c>
      <c r="V22" s="116">
        <v>0</v>
      </c>
      <c r="W22" s="116">
        <v>1</v>
      </c>
      <c r="X22" s="116">
        <v>5017</v>
      </c>
      <c r="Y22" s="116">
        <v>220</v>
      </c>
      <c r="Z22" s="116">
        <v>5237</v>
      </c>
      <c r="AA22" s="116">
        <v>1471</v>
      </c>
      <c r="AB22" s="116">
        <v>858</v>
      </c>
      <c r="AC22" s="10" t="s">
        <v>812</v>
      </c>
    </row>
    <row r="23" spans="2:29" x14ac:dyDescent="0.15">
      <c r="B23" s="105" t="s">
        <v>322</v>
      </c>
      <c r="C23" s="105" t="s">
        <v>874</v>
      </c>
      <c r="D23" s="32" t="s">
        <v>323</v>
      </c>
      <c r="E23" s="33">
        <v>0</v>
      </c>
      <c r="F23" s="33">
        <v>0</v>
      </c>
      <c r="G23" s="33">
        <v>1195</v>
      </c>
      <c r="H23" s="33">
        <v>1195</v>
      </c>
      <c r="I23" s="33">
        <v>0</v>
      </c>
      <c r="J23" s="33">
        <v>0</v>
      </c>
      <c r="K23" s="33">
        <v>1129</v>
      </c>
      <c r="L23" s="33">
        <v>1129</v>
      </c>
      <c r="M23" s="33">
        <v>0</v>
      </c>
      <c r="N23" s="33">
        <v>0</v>
      </c>
      <c r="O23" s="33">
        <v>66</v>
      </c>
      <c r="P23" s="33">
        <v>66</v>
      </c>
      <c r="Q23" s="56">
        <v>0.94476987447698746</v>
      </c>
      <c r="R23" s="56" t="s">
        <v>41</v>
      </c>
      <c r="S23" s="56" t="s">
        <v>41</v>
      </c>
      <c r="T23" s="56">
        <v>0.94476987447698746</v>
      </c>
      <c r="U23" s="116">
        <v>0</v>
      </c>
      <c r="V23" s="116">
        <v>0</v>
      </c>
      <c r="W23" s="116">
        <v>0</v>
      </c>
      <c r="X23" s="116">
        <v>0</v>
      </c>
      <c r="Y23" s="116">
        <v>0</v>
      </c>
      <c r="Z23" s="116">
        <v>0</v>
      </c>
      <c r="AA23" s="116">
        <v>0</v>
      </c>
      <c r="AB23" s="116">
        <v>0</v>
      </c>
      <c r="AC23" s="10" t="s">
        <v>809</v>
      </c>
    </row>
    <row r="24" spans="2:29" x14ac:dyDescent="0.15">
      <c r="B24" s="105" t="s">
        <v>321</v>
      </c>
      <c r="C24" s="105" t="s">
        <v>874</v>
      </c>
      <c r="D24" s="32" t="s">
        <v>757</v>
      </c>
      <c r="E24" s="33">
        <v>0</v>
      </c>
      <c r="F24" s="33">
        <v>0</v>
      </c>
      <c r="G24" s="33">
        <v>2328</v>
      </c>
      <c r="H24" s="33">
        <v>2328</v>
      </c>
      <c r="I24" s="33">
        <v>0</v>
      </c>
      <c r="J24" s="33">
        <v>0</v>
      </c>
      <c r="K24" s="33">
        <v>2208</v>
      </c>
      <c r="L24" s="33">
        <v>2208</v>
      </c>
      <c r="M24" s="33">
        <v>0</v>
      </c>
      <c r="N24" s="33">
        <v>0</v>
      </c>
      <c r="O24" s="33">
        <v>120</v>
      </c>
      <c r="P24" s="33">
        <v>120</v>
      </c>
      <c r="Q24" s="56">
        <v>0.94845360824742264</v>
      </c>
      <c r="R24" s="56" t="s">
        <v>41</v>
      </c>
      <c r="S24" s="56" t="s">
        <v>41</v>
      </c>
      <c r="T24" s="56">
        <v>0.94845360824742264</v>
      </c>
      <c r="U24" s="116">
        <v>0</v>
      </c>
      <c r="V24" s="116">
        <v>0</v>
      </c>
      <c r="W24" s="116">
        <v>0</v>
      </c>
      <c r="X24" s="116">
        <v>0</v>
      </c>
      <c r="Y24" s="116">
        <v>0</v>
      </c>
      <c r="Z24" s="116">
        <v>0</v>
      </c>
      <c r="AA24" s="116">
        <v>0</v>
      </c>
      <c r="AB24" s="116">
        <v>0</v>
      </c>
      <c r="AC24" s="10" t="s">
        <v>809</v>
      </c>
    </row>
    <row r="25" spans="2:29" x14ac:dyDescent="0.15">
      <c r="B25" s="105" t="s">
        <v>368</v>
      </c>
      <c r="C25" s="105" t="s">
        <v>874</v>
      </c>
      <c r="D25" s="32" t="s">
        <v>369</v>
      </c>
      <c r="E25" s="33">
        <v>7874</v>
      </c>
      <c r="F25" s="33">
        <v>0</v>
      </c>
      <c r="G25" s="33">
        <v>1582</v>
      </c>
      <c r="H25" s="33">
        <v>9456</v>
      </c>
      <c r="I25" s="33">
        <v>4655</v>
      </c>
      <c r="J25" s="33">
        <v>0</v>
      </c>
      <c r="K25" s="33">
        <v>1582</v>
      </c>
      <c r="L25" s="33">
        <v>6237</v>
      </c>
      <c r="M25" s="33">
        <v>3219</v>
      </c>
      <c r="N25" s="33">
        <v>0</v>
      </c>
      <c r="O25" s="33">
        <v>0</v>
      </c>
      <c r="P25" s="33">
        <v>3219</v>
      </c>
      <c r="Q25" s="56">
        <v>0.65958121827411165</v>
      </c>
      <c r="R25" s="56">
        <v>0.59118618237236475</v>
      </c>
      <c r="S25" s="56" t="s">
        <v>41</v>
      </c>
      <c r="T25" s="56">
        <v>1</v>
      </c>
      <c r="U25" s="116">
        <v>1692</v>
      </c>
      <c r="V25" s="116">
        <v>0</v>
      </c>
      <c r="W25" s="116">
        <v>0</v>
      </c>
      <c r="X25" s="116">
        <v>1692</v>
      </c>
      <c r="Y25" s="116">
        <v>461</v>
      </c>
      <c r="Z25" s="116">
        <v>2153</v>
      </c>
      <c r="AA25" s="116">
        <v>1034</v>
      </c>
      <c r="AB25" s="116">
        <v>423</v>
      </c>
      <c r="AC25" s="10" t="s">
        <v>812</v>
      </c>
    </row>
    <row r="26" spans="2:29" x14ac:dyDescent="0.15">
      <c r="B26" s="105" t="s">
        <v>364</v>
      </c>
      <c r="C26" s="105" t="s">
        <v>874</v>
      </c>
      <c r="D26" s="32" t="s">
        <v>811</v>
      </c>
      <c r="E26" s="33">
        <v>28628</v>
      </c>
      <c r="F26" s="33">
        <v>0</v>
      </c>
      <c r="G26" s="33">
        <v>8515</v>
      </c>
      <c r="H26" s="33">
        <v>37143</v>
      </c>
      <c r="I26" s="33">
        <v>17700</v>
      </c>
      <c r="J26" s="33">
        <v>0</v>
      </c>
      <c r="K26" s="33">
        <v>8154</v>
      </c>
      <c r="L26" s="33">
        <v>25854</v>
      </c>
      <c r="M26" s="33">
        <v>10928</v>
      </c>
      <c r="N26" s="33">
        <v>0</v>
      </c>
      <c r="O26" s="33">
        <v>361</v>
      </c>
      <c r="P26" s="33">
        <v>11289</v>
      </c>
      <c r="Q26" s="56">
        <v>0.69606655359017855</v>
      </c>
      <c r="R26" s="56">
        <v>0.61827581388850072</v>
      </c>
      <c r="S26" s="56" t="s">
        <v>41</v>
      </c>
      <c r="T26" s="56">
        <v>0.95760422783323551</v>
      </c>
      <c r="U26" s="116">
        <v>9218</v>
      </c>
      <c r="V26" s="116">
        <v>0</v>
      </c>
      <c r="W26" s="116">
        <v>164</v>
      </c>
      <c r="X26" s="116">
        <v>9382</v>
      </c>
      <c r="Y26" s="116">
        <v>1161</v>
      </c>
      <c r="Z26" s="116">
        <v>10543</v>
      </c>
      <c r="AA26" s="116">
        <v>3299</v>
      </c>
      <c r="AB26" s="116">
        <v>1371</v>
      </c>
      <c r="AC26" s="10" t="s">
        <v>810</v>
      </c>
    </row>
    <row r="27" spans="2:29" x14ac:dyDescent="0.15">
      <c r="B27" s="105" t="s">
        <v>288</v>
      </c>
      <c r="C27" s="105" t="s">
        <v>874</v>
      </c>
      <c r="D27" s="32" t="s">
        <v>289</v>
      </c>
      <c r="E27" s="33">
        <v>9420</v>
      </c>
      <c r="F27" s="33">
        <v>0</v>
      </c>
      <c r="G27" s="33">
        <v>6789</v>
      </c>
      <c r="H27" s="33">
        <v>16209</v>
      </c>
      <c r="I27" s="33">
        <v>4770</v>
      </c>
      <c r="J27" s="33">
        <v>0</v>
      </c>
      <c r="K27" s="33">
        <v>6611</v>
      </c>
      <c r="L27" s="33">
        <v>11381</v>
      </c>
      <c r="M27" s="33">
        <v>4650</v>
      </c>
      <c r="N27" s="33">
        <v>0</v>
      </c>
      <c r="O27" s="33">
        <v>178</v>
      </c>
      <c r="P27" s="33">
        <v>4828</v>
      </c>
      <c r="Q27" s="56">
        <v>0.70214078598309582</v>
      </c>
      <c r="R27" s="56">
        <v>0.50636942675159236</v>
      </c>
      <c r="S27" s="56" t="s">
        <v>41</v>
      </c>
      <c r="T27" s="56">
        <v>0.97378111651200472</v>
      </c>
      <c r="U27" s="116">
        <v>2624</v>
      </c>
      <c r="V27" s="116">
        <v>0</v>
      </c>
      <c r="W27" s="116">
        <v>0</v>
      </c>
      <c r="X27" s="116">
        <v>2624</v>
      </c>
      <c r="Y27" s="116">
        <v>424</v>
      </c>
      <c r="Z27" s="116">
        <v>3048</v>
      </c>
      <c r="AA27" s="116">
        <v>1105</v>
      </c>
      <c r="AB27" s="116">
        <v>2</v>
      </c>
      <c r="AC27" s="10" t="s">
        <v>809</v>
      </c>
    </row>
    <row r="28" spans="2:29" x14ac:dyDescent="0.15">
      <c r="B28" s="105" t="s">
        <v>370</v>
      </c>
      <c r="C28" s="105" t="s">
        <v>874</v>
      </c>
      <c r="D28" s="32" t="s">
        <v>713</v>
      </c>
      <c r="E28" s="33">
        <v>13687</v>
      </c>
      <c r="F28" s="33">
        <v>0</v>
      </c>
      <c r="G28" s="33">
        <v>8042</v>
      </c>
      <c r="H28" s="33">
        <v>21729</v>
      </c>
      <c r="I28" s="33">
        <v>9311</v>
      </c>
      <c r="J28" s="33">
        <v>0</v>
      </c>
      <c r="K28" s="33">
        <v>8035</v>
      </c>
      <c r="L28" s="33">
        <v>17346</v>
      </c>
      <c r="M28" s="33">
        <v>4376</v>
      </c>
      <c r="N28" s="33">
        <v>0</v>
      </c>
      <c r="O28" s="33">
        <v>7</v>
      </c>
      <c r="P28" s="33">
        <v>4383</v>
      </c>
      <c r="Q28" s="56">
        <v>0.7982880022090294</v>
      </c>
      <c r="R28" s="56">
        <v>0.68028055819390665</v>
      </c>
      <c r="S28" s="56" t="s">
        <v>41</v>
      </c>
      <c r="T28" s="56">
        <v>0.99912956975876643</v>
      </c>
      <c r="U28" s="116">
        <v>2331</v>
      </c>
      <c r="V28" s="116">
        <v>0</v>
      </c>
      <c r="W28" s="116">
        <v>0</v>
      </c>
      <c r="X28" s="116">
        <v>2331</v>
      </c>
      <c r="Y28" s="116">
        <v>1562</v>
      </c>
      <c r="Z28" s="116">
        <v>3893</v>
      </c>
      <c r="AA28" s="116">
        <v>1052</v>
      </c>
      <c r="AB28" s="116">
        <v>287</v>
      </c>
      <c r="AC28" s="10" t="s">
        <v>812</v>
      </c>
    </row>
    <row r="29" spans="2:29" x14ac:dyDescent="0.15">
      <c r="B29" s="105" t="s">
        <v>306</v>
      </c>
      <c r="C29" s="105" t="s">
        <v>874</v>
      </c>
      <c r="D29" s="32" t="s">
        <v>714</v>
      </c>
      <c r="E29" s="33">
        <v>17985</v>
      </c>
      <c r="F29" s="33">
        <v>0</v>
      </c>
      <c r="G29" s="33">
        <v>3887</v>
      </c>
      <c r="H29" s="33">
        <v>21872</v>
      </c>
      <c r="I29" s="33">
        <v>10986</v>
      </c>
      <c r="J29" s="33">
        <v>0</v>
      </c>
      <c r="K29" s="33">
        <v>3617</v>
      </c>
      <c r="L29" s="33">
        <v>14603</v>
      </c>
      <c r="M29" s="33">
        <v>6999</v>
      </c>
      <c r="N29" s="33">
        <v>0</v>
      </c>
      <c r="O29" s="33">
        <v>270</v>
      </c>
      <c r="P29" s="33">
        <v>7269</v>
      </c>
      <c r="Q29" s="56">
        <v>0.66765727871250913</v>
      </c>
      <c r="R29" s="56">
        <v>0.61084236864053376</v>
      </c>
      <c r="S29" s="56" t="s">
        <v>41</v>
      </c>
      <c r="T29" s="56">
        <v>0.93053768973501416</v>
      </c>
      <c r="U29" s="116">
        <v>4078</v>
      </c>
      <c r="V29" s="116">
        <v>0</v>
      </c>
      <c r="W29" s="116">
        <v>30</v>
      </c>
      <c r="X29" s="116">
        <v>4108</v>
      </c>
      <c r="Y29" s="116">
        <v>1434</v>
      </c>
      <c r="Z29" s="116">
        <v>5542</v>
      </c>
      <c r="AA29" s="116">
        <v>1238</v>
      </c>
      <c r="AB29" s="116">
        <v>705</v>
      </c>
      <c r="AC29" s="10" t="s">
        <v>809</v>
      </c>
    </row>
    <row r="30" spans="2:29" x14ac:dyDescent="0.15">
      <c r="B30" s="105" t="s">
        <v>290</v>
      </c>
      <c r="C30" s="105" t="s">
        <v>874</v>
      </c>
      <c r="D30" s="32" t="s">
        <v>857</v>
      </c>
      <c r="E30" s="33">
        <v>0</v>
      </c>
      <c r="F30" s="33">
        <v>0</v>
      </c>
      <c r="G30" s="33">
        <v>2335</v>
      </c>
      <c r="H30" s="33">
        <v>2335</v>
      </c>
      <c r="I30" s="33">
        <v>0</v>
      </c>
      <c r="J30" s="33">
        <v>0</v>
      </c>
      <c r="K30" s="33">
        <v>2335</v>
      </c>
      <c r="L30" s="33">
        <v>2335</v>
      </c>
      <c r="M30" s="33">
        <v>0</v>
      </c>
      <c r="N30" s="33">
        <v>0</v>
      </c>
      <c r="O30" s="33">
        <v>0</v>
      </c>
      <c r="P30" s="33">
        <v>0</v>
      </c>
      <c r="Q30" s="56">
        <v>1</v>
      </c>
      <c r="R30" s="56" t="s">
        <v>41</v>
      </c>
      <c r="S30" s="56" t="s">
        <v>41</v>
      </c>
      <c r="T30" s="56">
        <v>1</v>
      </c>
      <c r="U30" s="116">
        <v>0</v>
      </c>
      <c r="V30" s="116">
        <v>0</v>
      </c>
      <c r="W30" s="116">
        <v>0</v>
      </c>
      <c r="X30" s="116">
        <v>0</v>
      </c>
      <c r="Y30" s="116">
        <v>0</v>
      </c>
      <c r="Z30" s="116">
        <v>0</v>
      </c>
      <c r="AA30" s="116">
        <v>0</v>
      </c>
      <c r="AB30" s="116">
        <v>0</v>
      </c>
      <c r="AC30" s="10" t="s">
        <v>809</v>
      </c>
    </row>
    <row r="31" spans="2:29" x14ac:dyDescent="0.15">
      <c r="B31" s="105" t="s">
        <v>324</v>
      </c>
      <c r="C31" s="105" t="s">
        <v>874</v>
      </c>
      <c r="D31" s="32" t="s">
        <v>325</v>
      </c>
      <c r="E31" s="33">
        <v>9234</v>
      </c>
      <c r="F31" s="33">
        <v>0</v>
      </c>
      <c r="G31" s="33">
        <v>2565</v>
      </c>
      <c r="H31" s="33">
        <v>11799</v>
      </c>
      <c r="I31" s="33">
        <v>6590</v>
      </c>
      <c r="J31" s="33">
        <v>0</v>
      </c>
      <c r="K31" s="33">
        <v>2565</v>
      </c>
      <c r="L31" s="33">
        <v>9155</v>
      </c>
      <c r="M31" s="33">
        <v>2644</v>
      </c>
      <c r="N31" s="33">
        <v>0</v>
      </c>
      <c r="O31" s="33">
        <v>0</v>
      </c>
      <c r="P31" s="33">
        <v>2644</v>
      </c>
      <c r="Q31" s="56">
        <v>0.77591321298415117</v>
      </c>
      <c r="R31" s="56">
        <v>0.71366688325752659</v>
      </c>
      <c r="S31" s="56" t="s">
        <v>41</v>
      </c>
      <c r="T31" s="56">
        <v>1</v>
      </c>
      <c r="U31" s="116">
        <v>1698</v>
      </c>
      <c r="V31" s="116">
        <v>0</v>
      </c>
      <c r="W31" s="116">
        <v>0</v>
      </c>
      <c r="X31" s="116">
        <v>1698</v>
      </c>
      <c r="Y31" s="116">
        <v>460</v>
      </c>
      <c r="Z31" s="116">
        <v>2158</v>
      </c>
      <c r="AA31" s="116">
        <v>847</v>
      </c>
      <c r="AB31" s="116">
        <v>328</v>
      </c>
      <c r="AC31" s="10" t="s">
        <v>810</v>
      </c>
    </row>
    <row r="32" spans="2:29" x14ac:dyDescent="0.15">
      <c r="B32" s="105" t="s">
        <v>373</v>
      </c>
      <c r="C32" s="105" t="s">
        <v>874</v>
      </c>
      <c r="D32" s="32" t="s">
        <v>715</v>
      </c>
      <c r="E32" s="33">
        <v>6636</v>
      </c>
      <c r="F32" s="33">
        <v>0</v>
      </c>
      <c r="G32" s="33">
        <v>1297</v>
      </c>
      <c r="H32" s="33">
        <v>7933</v>
      </c>
      <c r="I32" s="33">
        <v>3844</v>
      </c>
      <c r="J32" s="33">
        <v>0</v>
      </c>
      <c r="K32" s="33">
        <v>1297</v>
      </c>
      <c r="L32" s="33">
        <v>5141</v>
      </c>
      <c r="M32" s="33">
        <v>2792</v>
      </c>
      <c r="N32" s="33">
        <v>0</v>
      </c>
      <c r="O32" s="33">
        <v>0</v>
      </c>
      <c r="P32" s="33">
        <v>2792</v>
      </c>
      <c r="Q32" s="56">
        <v>0.64805243917811672</v>
      </c>
      <c r="R32" s="56">
        <v>0.57926461723930078</v>
      </c>
      <c r="S32" s="56" t="s">
        <v>41</v>
      </c>
      <c r="T32" s="56">
        <v>1</v>
      </c>
      <c r="U32" s="116">
        <v>1753</v>
      </c>
      <c r="V32" s="116">
        <v>0</v>
      </c>
      <c r="W32" s="116">
        <v>0</v>
      </c>
      <c r="X32" s="116">
        <v>1753</v>
      </c>
      <c r="Y32" s="116">
        <v>393</v>
      </c>
      <c r="Z32" s="116">
        <v>2146</v>
      </c>
      <c r="AA32" s="116">
        <v>942</v>
      </c>
      <c r="AB32" s="116">
        <v>154</v>
      </c>
      <c r="AC32" s="10" t="s">
        <v>812</v>
      </c>
    </row>
    <row r="33" spans="2:29" x14ac:dyDescent="0.15">
      <c r="B33" s="105" t="s">
        <v>326</v>
      </c>
      <c r="C33" s="105" t="s">
        <v>874</v>
      </c>
      <c r="D33" s="32" t="s">
        <v>327</v>
      </c>
      <c r="E33" s="33">
        <v>8453</v>
      </c>
      <c r="F33" s="33">
        <v>0</v>
      </c>
      <c r="G33" s="33">
        <v>9787</v>
      </c>
      <c r="H33" s="33">
        <v>18240</v>
      </c>
      <c r="I33" s="33">
        <v>6176</v>
      </c>
      <c r="J33" s="33">
        <v>0</v>
      </c>
      <c r="K33" s="33">
        <v>9733</v>
      </c>
      <c r="L33" s="33">
        <v>15909</v>
      </c>
      <c r="M33" s="33">
        <v>2277</v>
      </c>
      <c r="N33" s="33">
        <v>0</v>
      </c>
      <c r="O33" s="33">
        <v>54</v>
      </c>
      <c r="P33" s="33">
        <v>2331</v>
      </c>
      <c r="Q33" s="56">
        <v>0.87220394736842111</v>
      </c>
      <c r="R33" s="56">
        <v>0.73062817934461133</v>
      </c>
      <c r="S33" s="56" t="s">
        <v>41</v>
      </c>
      <c r="T33" s="56">
        <v>0.99448247675487889</v>
      </c>
      <c r="U33" s="116">
        <v>5325</v>
      </c>
      <c r="V33" s="116">
        <v>0</v>
      </c>
      <c r="W33" s="116">
        <v>0</v>
      </c>
      <c r="X33" s="116">
        <v>5325</v>
      </c>
      <c r="Y33" s="116">
        <v>524</v>
      </c>
      <c r="Z33" s="116">
        <v>5849</v>
      </c>
      <c r="AA33" s="116">
        <v>753</v>
      </c>
      <c r="AB33" s="116">
        <v>15</v>
      </c>
      <c r="AC33" s="10" t="s">
        <v>809</v>
      </c>
    </row>
    <row r="34" spans="2:29" x14ac:dyDescent="0.15">
      <c r="B34" s="105" t="s">
        <v>402</v>
      </c>
      <c r="C34" s="105" t="s">
        <v>874</v>
      </c>
      <c r="D34" s="32" t="s">
        <v>403</v>
      </c>
      <c r="E34" s="33">
        <v>8324</v>
      </c>
      <c r="F34" s="33">
        <v>0</v>
      </c>
      <c r="G34" s="33">
        <v>940</v>
      </c>
      <c r="H34" s="33">
        <v>9264</v>
      </c>
      <c r="I34" s="33">
        <v>6633</v>
      </c>
      <c r="J34" s="33">
        <v>0</v>
      </c>
      <c r="K34" s="33">
        <v>940</v>
      </c>
      <c r="L34" s="33">
        <v>7573</v>
      </c>
      <c r="M34" s="33">
        <v>1691</v>
      </c>
      <c r="N34" s="33">
        <v>0</v>
      </c>
      <c r="O34" s="33">
        <v>0</v>
      </c>
      <c r="P34" s="33">
        <v>1691</v>
      </c>
      <c r="Q34" s="56">
        <v>0.81746545768566492</v>
      </c>
      <c r="R34" s="56">
        <v>0.79685247477174437</v>
      </c>
      <c r="S34" s="56" t="s">
        <v>41</v>
      </c>
      <c r="T34" s="56">
        <v>1</v>
      </c>
      <c r="U34" s="116">
        <v>1940</v>
      </c>
      <c r="V34" s="116">
        <v>0</v>
      </c>
      <c r="W34" s="116">
        <v>0</v>
      </c>
      <c r="X34" s="116">
        <v>1940</v>
      </c>
      <c r="Y34" s="116">
        <v>278</v>
      </c>
      <c r="Z34" s="116">
        <v>2218</v>
      </c>
      <c r="AA34" s="116">
        <v>486</v>
      </c>
      <c r="AB34" s="116">
        <v>149</v>
      </c>
      <c r="AC34" s="10" t="s">
        <v>812</v>
      </c>
    </row>
    <row r="35" spans="2:29" x14ac:dyDescent="0.15">
      <c r="B35" s="105" t="s">
        <v>162</v>
      </c>
      <c r="C35" s="105" t="s">
        <v>760</v>
      </c>
      <c r="D35" s="32" t="s">
        <v>855</v>
      </c>
      <c r="E35" s="33">
        <v>0</v>
      </c>
      <c r="F35" s="33">
        <v>0</v>
      </c>
      <c r="G35" s="33">
        <v>2883</v>
      </c>
      <c r="H35" s="33">
        <v>2883</v>
      </c>
      <c r="I35" s="33">
        <v>0</v>
      </c>
      <c r="J35" s="33">
        <v>0</v>
      </c>
      <c r="K35" s="33">
        <v>2851</v>
      </c>
      <c r="L35" s="33">
        <v>2851</v>
      </c>
      <c r="M35" s="33">
        <v>0</v>
      </c>
      <c r="N35" s="33">
        <v>0</v>
      </c>
      <c r="O35" s="33">
        <v>32</v>
      </c>
      <c r="P35" s="33">
        <v>32</v>
      </c>
      <c r="Q35" s="56">
        <v>0.98890045091918144</v>
      </c>
      <c r="R35" s="56" t="s">
        <v>41</v>
      </c>
      <c r="S35" s="56" t="s">
        <v>41</v>
      </c>
      <c r="T35" s="56">
        <v>0.98890045091918144</v>
      </c>
      <c r="U35" s="116">
        <v>0</v>
      </c>
      <c r="V35" s="116">
        <v>0</v>
      </c>
      <c r="W35" s="116">
        <v>0</v>
      </c>
      <c r="X35" s="116">
        <v>0</v>
      </c>
      <c r="Y35" s="116">
        <v>0</v>
      </c>
      <c r="Z35" s="116">
        <v>0</v>
      </c>
      <c r="AA35" s="116">
        <v>0</v>
      </c>
      <c r="AB35" s="116">
        <v>0</v>
      </c>
      <c r="AC35" s="10" t="s">
        <v>67</v>
      </c>
    </row>
    <row r="36" spans="2:29" x14ac:dyDescent="0.15">
      <c r="B36" s="105" t="s">
        <v>130</v>
      </c>
      <c r="C36" s="105" t="s">
        <v>760</v>
      </c>
      <c r="D36" s="32" t="s">
        <v>716</v>
      </c>
      <c r="E36" s="33">
        <v>14321</v>
      </c>
      <c r="F36" s="33">
        <v>2471</v>
      </c>
      <c r="G36" s="33">
        <v>16018</v>
      </c>
      <c r="H36" s="33">
        <v>32810</v>
      </c>
      <c r="I36" s="33">
        <v>9013</v>
      </c>
      <c r="J36" s="33">
        <v>2212</v>
      </c>
      <c r="K36" s="33">
        <v>15578</v>
      </c>
      <c r="L36" s="33">
        <v>26803</v>
      </c>
      <c r="M36" s="33">
        <v>5308</v>
      </c>
      <c r="N36" s="33">
        <v>259</v>
      </c>
      <c r="O36" s="33">
        <v>440</v>
      </c>
      <c r="P36" s="33">
        <v>6007</v>
      </c>
      <c r="Q36" s="56">
        <v>0.81691557451996344</v>
      </c>
      <c r="R36" s="56">
        <v>0.6293554919349208</v>
      </c>
      <c r="S36" s="56">
        <v>0.89518413597733715</v>
      </c>
      <c r="T36" s="56">
        <v>0.97253090273442377</v>
      </c>
      <c r="U36" s="116">
        <v>3593</v>
      </c>
      <c r="V36" s="116">
        <v>0</v>
      </c>
      <c r="W36" s="116">
        <v>0</v>
      </c>
      <c r="X36" s="116">
        <v>3593</v>
      </c>
      <c r="Y36" s="116">
        <v>2526</v>
      </c>
      <c r="Z36" s="116">
        <v>6119</v>
      </c>
      <c r="AA36" s="116">
        <v>1064</v>
      </c>
      <c r="AB36" s="116">
        <v>568</v>
      </c>
      <c r="AC36" s="10" t="s">
        <v>67</v>
      </c>
    </row>
    <row r="37" spans="2:29" x14ac:dyDescent="0.15">
      <c r="B37" s="105" t="s">
        <v>134</v>
      </c>
      <c r="C37" s="105" t="s">
        <v>760</v>
      </c>
      <c r="D37" s="32" t="s">
        <v>135</v>
      </c>
      <c r="E37" s="33">
        <v>27253</v>
      </c>
      <c r="F37" s="33">
        <v>895</v>
      </c>
      <c r="G37" s="33">
        <v>18702</v>
      </c>
      <c r="H37" s="33">
        <v>46850</v>
      </c>
      <c r="I37" s="33">
        <v>16611</v>
      </c>
      <c r="J37" s="33">
        <v>894</v>
      </c>
      <c r="K37" s="33">
        <v>17167</v>
      </c>
      <c r="L37" s="33">
        <v>34672</v>
      </c>
      <c r="M37" s="33">
        <v>10642</v>
      </c>
      <c r="N37" s="33">
        <v>1</v>
      </c>
      <c r="O37" s="33">
        <v>1535</v>
      </c>
      <c r="P37" s="33">
        <v>12178</v>
      </c>
      <c r="Q37" s="56">
        <v>0.74006403415154753</v>
      </c>
      <c r="R37" s="56">
        <v>0.60951087953619787</v>
      </c>
      <c r="S37" s="56">
        <v>0.99888268156424576</v>
      </c>
      <c r="T37" s="56">
        <v>0.91792321676826005</v>
      </c>
      <c r="U37" s="116">
        <v>3992</v>
      </c>
      <c r="V37" s="116">
        <v>0</v>
      </c>
      <c r="W37" s="116">
        <v>24</v>
      </c>
      <c r="X37" s="116">
        <v>4016</v>
      </c>
      <c r="Y37" s="116">
        <v>1207</v>
      </c>
      <c r="Z37" s="116">
        <v>5223</v>
      </c>
      <c r="AA37" s="116">
        <v>2141</v>
      </c>
      <c r="AB37" s="116">
        <v>1208</v>
      </c>
      <c r="AC37" s="10" t="s">
        <v>67</v>
      </c>
    </row>
    <row r="38" spans="2:29" x14ac:dyDescent="0.15">
      <c r="B38" s="105" t="s">
        <v>230</v>
      </c>
      <c r="C38" s="105" t="s">
        <v>760</v>
      </c>
      <c r="D38" s="32" t="s">
        <v>762</v>
      </c>
      <c r="E38" s="33">
        <v>0</v>
      </c>
      <c r="F38" s="33">
        <v>0</v>
      </c>
      <c r="G38" s="33">
        <v>3736</v>
      </c>
      <c r="H38" s="33">
        <v>3736</v>
      </c>
      <c r="I38" s="33">
        <v>0</v>
      </c>
      <c r="J38" s="33">
        <v>0</v>
      </c>
      <c r="K38" s="33">
        <v>3722</v>
      </c>
      <c r="L38" s="33">
        <v>3722</v>
      </c>
      <c r="M38" s="33">
        <v>0</v>
      </c>
      <c r="N38" s="33">
        <v>0</v>
      </c>
      <c r="O38" s="33">
        <v>14</v>
      </c>
      <c r="P38" s="33">
        <v>14</v>
      </c>
      <c r="Q38" s="56">
        <v>0.99625267665952888</v>
      </c>
      <c r="R38" s="56" t="s">
        <v>41</v>
      </c>
      <c r="S38" s="56" t="s">
        <v>41</v>
      </c>
      <c r="T38" s="56">
        <v>0.99625267665952888</v>
      </c>
      <c r="U38" s="116">
        <v>0</v>
      </c>
      <c r="V38" s="116">
        <v>0</v>
      </c>
      <c r="W38" s="116">
        <v>0</v>
      </c>
      <c r="X38" s="116">
        <v>0</v>
      </c>
      <c r="Y38" s="116">
        <v>0</v>
      </c>
      <c r="Z38" s="116">
        <v>0</v>
      </c>
      <c r="AA38" s="116">
        <v>0</v>
      </c>
      <c r="AB38" s="116">
        <v>0</v>
      </c>
      <c r="AC38" s="10" t="s">
        <v>105</v>
      </c>
    </row>
    <row r="39" spans="2:29" x14ac:dyDescent="0.15">
      <c r="B39" s="105" t="s">
        <v>203</v>
      </c>
      <c r="C39" s="105" t="s">
        <v>760</v>
      </c>
      <c r="D39" s="32" t="s">
        <v>204</v>
      </c>
      <c r="E39" s="33">
        <v>0</v>
      </c>
      <c r="F39" s="33">
        <v>0</v>
      </c>
      <c r="G39" s="33">
        <v>14327</v>
      </c>
      <c r="H39" s="33">
        <v>14327</v>
      </c>
      <c r="I39" s="33">
        <v>0</v>
      </c>
      <c r="J39" s="33">
        <v>0</v>
      </c>
      <c r="K39" s="33">
        <v>13935</v>
      </c>
      <c r="L39" s="33">
        <v>13935</v>
      </c>
      <c r="M39" s="33">
        <v>0</v>
      </c>
      <c r="N39" s="33">
        <v>0</v>
      </c>
      <c r="O39" s="33">
        <v>392</v>
      </c>
      <c r="P39" s="33">
        <v>392</v>
      </c>
      <c r="Q39" s="56">
        <v>0.97263907307880226</v>
      </c>
      <c r="R39" s="56" t="s">
        <v>41</v>
      </c>
      <c r="S39" s="56" t="s">
        <v>41</v>
      </c>
      <c r="T39" s="56">
        <v>0.97263907307880226</v>
      </c>
      <c r="U39" s="116">
        <v>0</v>
      </c>
      <c r="V39" s="116">
        <v>0</v>
      </c>
      <c r="W39" s="116">
        <v>0</v>
      </c>
      <c r="X39" s="116">
        <v>0</v>
      </c>
      <c r="Y39" s="116">
        <v>0</v>
      </c>
      <c r="Z39" s="116">
        <v>0</v>
      </c>
      <c r="AA39" s="116">
        <v>0</v>
      </c>
      <c r="AB39" s="116">
        <v>0</v>
      </c>
      <c r="AC39" s="10" t="s">
        <v>813</v>
      </c>
    </row>
    <row r="40" spans="2:29" x14ac:dyDescent="0.15">
      <c r="B40" s="105" t="s">
        <v>207</v>
      </c>
      <c r="C40" s="105" t="s">
        <v>760</v>
      </c>
      <c r="D40" s="32" t="s">
        <v>717</v>
      </c>
      <c r="E40" s="33">
        <v>21929</v>
      </c>
      <c r="F40" s="33">
        <v>0</v>
      </c>
      <c r="G40" s="33">
        <v>6840</v>
      </c>
      <c r="H40" s="33">
        <v>28769</v>
      </c>
      <c r="I40" s="33">
        <v>15910</v>
      </c>
      <c r="J40" s="33">
        <v>0</v>
      </c>
      <c r="K40" s="33">
        <v>6520</v>
      </c>
      <c r="L40" s="33">
        <v>22430</v>
      </c>
      <c r="M40" s="33">
        <v>6019</v>
      </c>
      <c r="N40" s="33">
        <v>0</v>
      </c>
      <c r="O40" s="33">
        <v>320</v>
      </c>
      <c r="P40" s="33">
        <v>6339</v>
      </c>
      <c r="Q40" s="56">
        <v>0.77965866036358578</v>
      </c>
      <c r="R40" s="56">
        <v>0.72552327967531582</v>
      </c>
      <c r="S40" s="56" t="s">
        <v>41</v>
      </c>
      <c r="T40" s="56">
        <v>0.95321637426900585</v>
      </c>
      <c r="U40" s="116">
        <v>2966</v>
      </c>
      <c r="V40" s="116">
        <v>0</v>
      </c>
      <c r="W40" s="116">
        <v>0</v>
      </c>
      <c r="X40" s="116">
        <v>2966</v>
      </c>
      <c r="Y40" s="116">
        <v>316</v>
      </c>
      <c r="Z40" s="116">
        <v>3282</v>
      </c>
      <c r="AA40" s="116">
        <v>973</v>
      </c>
      <c r="AB40" s="116">
        <v>44</v>
      </c>
      <c r="AC40" s="10" t="s">
        <v>813</v>
      </c>
    </row>
    <row r="41" spans="2:29" x14ac:dyDescent="0.15">
      <c r="B41" s="105" t="s">
        <v>250</v>
      </c>
      <c r="C41" s="105" t="s">
        <v>760</v>
      </c>
      <c r="D41" s="32" t="s">
        <v>251</v>
      </c>
      <c r="E41" s="33">
        <v>13804</v>
      </c>
      <c r="F41" s="33">
        <v>0</v>
      </c>
      <c r="G41" s="33">
        <v>4657</v>
      </c>
      <c r="H41" s="33">
        <v>18461</v>
      </c>
      <c r="I41" s="33">
        <v>8710</v>
      </c>
      <c r="J41" s="33">
        <v>0</v>
      </c>
      <c r="K41" s="33">
        <v>4657</v>
      </c>
      <c r="L41" s="33">
        <v>13367</v>
      </c>
      <c r="M41" s="33">
        <v>5094</v>
      </c>
      <c r="N41" s="33">
        <v>0</v>
      </c>
      <c r="O41" s="33">
        <v>0</v>
      </c>
      <c r="P41" s="33">
        <v>5094</v>
      </c>
      <c r="Q41" s="56">
        <v>0.72406695195276527</v>
      </c>
      <c r="R41" s="56">
        <v>0.63097652854245145</v>
      </c>
      <c r="S41" s="56" t="s">
        <v>41</v>
      </c>
      <c r="T41" s="56">
        <v>1</v>
      </c>
      <c r="U41" s="116">
        <v>1090</v>
      </c>
      <c r="V41" s="116">
        <v>0</v>
      </c>
      <c r="W41" s="116">
        <v>0</v>
      </c>
      <c r="X41" s="116">
        <v>1090</v>
      </c>
      <c r="Y41" s="116">
        <v>150</v>
      </c>
      <c r="Z41" s="116">
        <v>1240</v>
      </c>
      <c r="AA41" s="116">
        <v>927</v>
      </c>
      <c r="AB41" s="116">
        <v>626</v>
      </c>
      <c r="AC41" s="10" t="s">
        <v>111</v>
      </c>
    </row>
    <row r="42" spans="2:29" x14ac:dyDescent="0.15">
      <c r="B42" s="105" t="s">
        <v>258</v>
      </c>
      <c r="C42" s="105" t="s">
        <v>760</v>
      </c>
      <c r="D42" s="32" t="s">
        <v>718</v>
      </c>
      <c r="E42" s="33">
        <v>11638</v>
      </c>
      <c r="F42" s="33">
        <v>0</v>
      </c>
      <c r="G42" s="33">
        <v>2921</v>
      </c>
      <c r="H42" s="33">
        <v>14559</v>
      </c>
      <c r="I42" s="33">
        <v>7829</v>
      </c>
      <c r="J42" s="33">
        <v>0</v>
      </c>
      <c r="K42" s="33">
        <v>2485</v>
      </c>
      <c r="L42" s="33">
        <v>10314</v>
      </c>
      <c r="M42" s="33">
        <v>3809</v>
      </c>
      <c r="N42" s="33">
        <v>0</v>
      </c>
      <c r="O42" s="33">
        <v>436</v>
      </c>
      <c r="P42" s="33">
        <v>4245</v>
      </c>
      <c r="Q42" s="56">
        <v>0.70842777663301049</v>
      </c>
      <c r="R42" s="56">
        <v>0.67271008764392504</v>
      </c>
      <c r="S42" s="56" t="s">
        <v>41</v>
      </c>
      <c r="T42" s="56">
        <v>0.85073604929818558</v>
      </c>
      <c r="U42" s="116">
        <v>2097</v>
      </c>
      <c r="V42" s="116">
        <v>0</v>
      </c>
      <c r="W42" s="116">
        <v>0</v>
      </c>
      <c r="X42" s="116">
        <v>2097</v>
      </c>
      <c r="Y42" s="116">
        <v>163</v>
      </c>
      <c r="Z42" s="116">
        <v>2260</v>
      </c>
      <c r="AA42" s="116">
        <v>1391</v>
      </c>
      <c r="AB42" s="116">
        <v>743</v>
      </c>
      <c r="AC42" s="10" t="s">
        <v>111</v>
      </c>
    </row>
    <row r="43" spans="2:29" x14ac:dyDescent="0.15">
      <c r="B43" s="105" t="s">
        <v>233</v>
      </c>
      <c r="C43" s="105" t="s">
        <v>760</v>
      </c>
      <c r="D43" s="32" t="s">
        <v>719</v>
      </c>
      <c r="E43" s="33">
        <v>11004</v>
      </c>
      <c r="F43" s="33">
        <v>0</v>
      </c>
      <c r="G43" s="33">
        <v>7279</v>
      </c>
      <c r="H43" s="33">
        <v>18283</v>
      </c>
      <c r="I43" s="33">
        <v>6731</v>
      </c>
      <c r="J43" s="33">
        <v>0</v>
      </c>
      <c r="K43" s="33">
        <v>7062</v>
      </c>
      <c r="L43" s="33">
        <v>13793</v>
      </c>
      <c r="M43" s="33">
        <v>4273</v>
      </c>
      <c r="N43" s="33">
        <v>0</v>
      </c>
      <c r="O43" s="33">
        <v>217</v>
      </c>
      <c r="P43" s="33">
        <v>4490</v>
      </c>
      <c r="Q43" s="56">
        <v>0.75441667122463496</v>
      </c>
      <c r="R43" s="56">
        <v>0.61168665939658307</v>
      </c>
      <c r="S43" s="56" t="s">
        <v>41</v>
      </c>
      <c r="T43" s="56">
        <v>0.97018821266657507</v>
      </c>
      <c r="U43" s="116">
        <v>2076</v>
      </c>
      <c r="V43" s="116">
        <v>0</v>
      </c>
      <c r="W43" s="116">
        <v>0</v>
      </c>
      <c r="X43" s="116">
        <v>2076</v>
      </c>
      <c r="Y43" s="116">
        <v>342</v>
      </c>
      <c r="Z43" s="116">
        <v>2418</v>
      </c>
      <c r="AA43" s="116">
        <v>232</v>
      </c>
      <c r="AB43" s="116">
        <v>73</v>
      </c>
      <c r="AC43" s="10" t="s">
        <v>105</v>
      </c>
    </row>
    <row r="44" spans="2:29" x14ac:dyDescent="0.15">
      <c r="B44" s="105" t="s">
        <v>166</v>
      </c>
      <c r="C44" s="105" t="s">
        <v>760</v>
      </c>
      <c r="D44" s="32" t="s">
        <v>858</v>
      </c>
      <c r="E44" s="33">
        <v>0</v>
      </c>
      <c r="F44" s="33">
        <v>0</v>
      </c>
      <c r="G44" s="33">
        <v>2752</v>
      </c>
      <c r="H44" s="33">
        <v>2752</v>
      </c>
      <c r="I44" s="33">
        <v>0</v>
      </c>
      <c r="J44" s="33">
        <v>0</v>
      </c>
      <c r="K44" s="33">
        <v>2727</v>
      </c>
      <c r="L44" s="33">
        <v>2727</v>
      </c>
      <c r="M44" s="33">
        <v>0</v>
      </c>
      <c r="N44" s="33">
        <v>0</v>
      </c>
      <c r="O44" s="33">
        <v>25</v>
      </c>
      <c r="P44" s="33">
        <v>25</v>
      </c>
      <c r="Q44" s="56">
        <v>0.99091569767441856</v>
      </c>
      <c r="R44" s="56" t="s">
        <v>41</v>
      </c>
      <c r="S44" s="56" t="s">
        <v>41</v>
      </c>
      <c r="T44" s="56">
        <v>0.99091569767441856</v>
      </c>
      <c r="U44" s="116">
        <v>0</v>
      </c>
      <c r="V44" s="116">
        <v>0</v>
      </c>
      <c r="W44" s="116">
        <v>0</v>
      </c>
      <c r="X44" s="116">
        <v>0</v>
      </c>
      <c r="Y44" s="116">
        <v>0</v>
      </c>
      <c r="Z44" s="116">
        <v>0</v>
      </c>
      <c r="AA44" s="116">
        <v>0</v>
      </c>
      <c r="AB44" s="116">
        <v>0</v>
      </c>
      <c r="AC44" s="10" t="s">
        <v>67</v>
      </c>
    </row>
    <row r="45" spans="2:29" x14ac:dyDescent="0.15">
      <c r="B45" s="105" t="s">
        <v>142</v>
      </c>
      <c r="C45" s="105" t="s">
        <v>760</v>
      </c>
      <c r="D45" s="32" t="s">
        <v>143</v>
      </c>
      <c r="E45" s="33">
        <v>11472</v>
      </c>
      <c r="F45" s="33">
        <v>0</v>
      </c>
      <c r="G45" s="33">
        <v>0</v>
      </c>
      <c r="H45" s="33">
        <v>11472</v>
      </c>
      <c r="I45" s="33">
        <v>9004</v>
      </c>
      <c r="J45" s="33">
        <v>0</v>
      </c>
      <c r="K45" s="33">
        <v>0</v>
      </c>
      <c r="L45" s="33">
        <v>9004</v>
      </c>
      <c r="M45" s="33">
        <v>2468</v>
      </c>
      <c r="N45" s="33">
        <v>0</v>
      </c>
      <c r="O45" s="33">
        <v>0</v>
      </c>
      <c r="P45" s="33">
        <v>2468</v>
      </c>
      <c r="Q45" s="56">
        <v>0.78486750348675038</v>
      </c>
      <c r="R45" s="56">
        <v>0.78486750348675038</v>
      </c>
      <c r="S45" s="56" t="s">
        <v>41</v>
      </c>
      <c r="T45" s="56" t="s">
        <v>41</v>
      </c>
      <c r="U45" s="116">
        <v>1761</v>
      </c>
      <c r="V45" s="116">
        <v>0</v>
      </c>
      <c r="W45" s="116">
        <v>0</v>
      </c>
      <c r="X45" s="116">
        <v>1761</v>
      </c>
      <c r="Y45" s="116">
        <v>401</v>
      </c>
      <c r="Z45" s="116">
        <v>2162</v>
      </c>
      <c r="AA45" s="116">
        <v>224</v>
      </c>
      <c r="AB45" s="116">
        <v>25</v>
      </c>
      <c r="AC45" s="10" t="s">
        <v>67</v>
      </c>
    </row>
    <row r="46" spans="2:29" x14ac:dyDescent="0.15">
      <c r="B46" s="105" t="s">
        <v>210</v>
      </c>
      <c r="C46" s="105" t="s">
        <v>760</v>
      </c>
      <c r="D46" s="32" t="s">
        <v>211</v>
      </c>
      <c r="E46" s="33">
        <v>12877</v>
      </c>
      <c r="F46" s="33">
        <v>4284</v>
      </c>
      <c r="G46" s="33">
        <v>7902</v>
      </c>
      <c r="H46" s="33">
        <v>25063</v>
      </c>
      <c r="I46" s="33">
        <v>7374</v>
      </c>
      <c r="J46" s="33">
        <v>4003</v>
      </c>
      <c r="K46" s="33">
        <v>7538</v>
      </c>
      <c r="L46" s="33">
        <v>18915</v>
      </c>
      <c r="M46" s="33">
        <v>5503</v>
      </c>
      <c r="N46" s="33">
        <v>281</v>
      </c>
      <c r="O46" s="33">
        <v>364</v>
      </c>
      <c r="P46" s="33">
        <v>6148</v>
      </c>
      <c r="Q46" s="56">
        <v>0.75469816063519934</v>
      </c>
      <c r="R46" s="56">
        <v>0.5726489089073542</v>
      </c>
      <c r="S46" s="56">
        <v>0.93440709617180207</v>
      </c>
      <c r="T46" s="56">
        <v>0.95393571247785369</v>
      </c>
      <c r="U46" s="116">
        <v>3776</v>
      </c>
      <c r="V46" s="116">
        <v>0</v>
      </c>
      <c r="W46" s="116">
        <v>0</v>
      </c>
      <c r="X46" s="116">
        <v>3776</v>
      </c>
      <c r="Y46" s="116">
        <v>1001</v>
      </c>
      <c r="Z46" s="116">
        <v>4777</v>
      </c>
      <c r="AA46" s="116">
        <v>626</v>
      </c>
      <c r="AB46" s="116">
        <v>0</v>
      </c>
      <c r="AC46" s="10" t="s">
        <v>813</v>
      </c>
    </row>
    <row r="47" spans="2:29" x14ac:dyDescent="0.15">
      <c r="B47" s="105" t="s">
        <v>236</v>
      </c>
      <c r="C47" s="105" t="s">
        <v>760</v>
      </c>
      <c r="D47" s="32" t="s">
        <v>720</v>
      </c>
      <c r="E47" s="33">
        <v>16246</v>
      </c>
      <c r="F47" s="33">
        <v>0</v>
      </c>
      <c r="G47" s="33">
        <v>11134</v>
      </c>
      <c r="H47" s="33">
        <v>27380</v>
      </c>
      <c r="I47" s="33">
        <v>8415</v>
      </c>
      <c r="J47" s="33">
        <v>0</v>
      </c>
      <c r="K47" s="33">
        <v>10521</v>
      </c>
      <c r="L47" s="33">
        <v>18936</v>
      </c>
      <c r="M47" s="33">
        <v>7831</v>
      </c>
      <c r="N47" s="33">
        <v>0</v>
      </c>
      <c r="O47" s="33">
        <v>613</v>
      </c>
      <c r="P47" s="33">
        <v>8444</v>
      </c>
      <c r="Q47" s="56">
        <v>0.69159970781592406</v>
      </c>
      <c r="R47" s="56">
        <v>0.51797365505355164</v>
      </c>
      <c r="S47" s="56" t="s">
        <v>41</v>
      </c>
      <c r="T47" s="56">
        <v>0.94494341656188252</v>
      </c>
      <c r="U47" s="116">
        <v>3566</v>
      </c>
      <c r="V47" s="116">
        <v>0</v>
      </c>
      <c r="W47" s="116">
        <v>0</v>
      </c>
      <c r="X47" s="116">
        <v>3566</v>
      </c>
      <c r="Y47" s="116">
        <v>317</v>
      </c>
      <c r="Z47" s="116">
        <v>3883</v>
      </c>
      <c r="AA47" s="116">
        <v>2350</v>
      </c>
      <c r="AB47" s="116">
        <v>692</v>
      </c>
      <c r="AC47" s="10" t="s">
        <v>105</v>
      </c>
    </row>
    <row r="48" spans="2:29" x14ac:dyDescent="0.15">
      <c r="B48" s="105" t="s">
        <v>264</v>
      </c>
      <c r="C48" s="105" t="s">
        <v>760</v>
      </c>
      <c r="D48" s="32" t="s">
        <v>861</v>
      </c>
      <c r="E48" s="33">
        <v>7544</v>
      </c>
      <c r="F48" s="33">
        <v>0</v>
      </c>
      <c r="G48" s="33">
        <v>8597</v>
      </c>
      <c r="H48" s="33">
        <v>16141</v>
      </c>
      <c r="I48" s="33">
        <v>3132</v>
      </c>
      <c r="J48" s="33">
        <v>0</v>
      </c>
      <c r="K48" s="33">
        <v>8064</v>
      </c>
      <c r="L48" s="33">
        <v>11196</v>
      </c>
      <c r="M48" s="33">
        <v>4412</v>
      </c>
      <c r="N48" s="33">
        <v>0</v>
      </c>
      <c r="O48" s="33">
        <v>533</v>
      </c>
      <c r="P48" s="33">
        <v>4945</v>
      </c>
      <c r="Q48" s="56">
        <v>0.69363732110773801</v>
      </c>
      <c r="R48" s="56">
        <v>0.41516436903499471</v>
      </c>
      <c r="S48" s="56" t="s">
        <v>41</v>
      </c>
      <c r="T48" s="56">
        <v>0.93800162847504942</v>
      </c>
      <c r="U48" s="116">
        <v>2569</v>
      </c>
      <c r="V48" s="116">
        <v>0</v>
      </c>
      <c r="W48" s="116">
        <v>171</v>
      </c>
      <c r="X48" s="116">
        <v>2740</v>
      </c>
      <c r="Y48" s="116">
        <v>654</v>
      </c>
      <c r="Z48" s="116">
        <v>3394</v>
      </c>
      <c r="AA48" s="116">
        <v>742</v>
      </c>
      <c r="AB48" s="116">
        <v>516</v>
      </c>
      <c r="AC48" s="10" t="s">
        <v>111</v>
      </c>
    </row>
    <row r="49" spans="2:29" x14ac:dyDescent="0.15">
      <c r="B49" s="105" t="s">
        <v>239</v>
      </c>
      <c r="C49" s="105" t="s">
        <v>760</v>
      </c>
      <c r="D49" s="32" t="s">
        <v>721</v>
      </c>
      <c r="E49" s="33">
        <v>16492</v>
      </c>
      <c r="F49" s="33">
        <v>0</v>
      </c>
      <c r="G49" s="33">
        <v>17231</v>
      </c>
      <c r="H49" s="33">
        <v>33723</v>
      </c>
      <c r="I49" s="33">
        <v>7265</v>
      </c>
      <c r="J49" s="33">
        <v>0</v>
      </c>
      <c r="K49" s="33">
        <v>16716</v>
      </c>
      <c r="L49" s="33">
        <v>23981</v>
      </c>
      <c r="M49" s="33">
        <v>9227</v>
      </c>
      <c r="N49" s="33">
        <v>0</v>
      </c>
      <c r="O49" s="33">
        <v>515</v>
      </c>
      <c r="P49" s="33">
        <v>9742</v>
      </c>
      <c r="Q49" s="56">
        <v>0.71111704178157342</v>
      </c>
      <c r="R49" s="56">
        <v>0.44051661411593501</v>
      </c>
      <c r="S49" s="56" t="s">
        <v>41</v>
      </c>
      <c r="T49" s="56">
        <v>0.97011200742847192</v>
      </c>
      <c r="U49" s="116">
        <v>4635</v>
      </c>
      <c r="V49" s="116">
        <v>0</v>
      </c>
      <c r="W49" s="116">
        <v>0</v>
      </c>
      <c r="X49" s="116">
        <v>4635</v>
      </c>
      <c r="Y49" s="116">
        <v>584</v>
      </c>
      <c r="Z49" s="116">
        <v>5219</v>
      </c>
      <c r="AA49" s="116">
        <v>1900</v>
      </c>
      <c r="AB49" s="116">
        <v>713</v>
      </c>
      <c r="AC49" s="10" t="s">
        <v>105</v>
      </c>
    </row>
    <row r="50" spans="2:29" x14ac:dyDescent="0.15">
      <c r="B50" s="105" t="s">
        <v>214</v>
      </c>
      <c r="C50" s="105" t="s">
        <v>760</v>
      </c>
      <c r="D50" s="32" t="s">
        <v>215</v>
      </c>
      <c r="E50" s="33">
        <v>15095</v>
      </c>
      <c r="F50" s="33">
        <v>0</v>
      </c>
      <c r="G50" s="33">
        <v>16071</v>
      </c>
      <c r="H50" s="33">
        <v>31166</v>
      </c>
      <c r="I50" s="33">
        <v>7689</v>
      </c>
      <c r="J50" s="33">
        <v>0</v>
      </c>
      <c r="K50" s="33">
        <v>15816</v>
      </c>
      <c r="L50" s="33">
        <v>23505</v>
      </c>
      <c r="M50" s="33">
        <v>7406</v>
      </c>
      <c r="N50" s="33">
        <v>0</v>
      </c>
      <c r="O50" s="33">
        <v>255</v>
      </c>
      <c r="P50" s="33">
        <v>7661</v>
      </c>
      <c r="Q50" s="56">
        <v>0.75418725534236031</v>
      </c>
      <c r="R50" s="56">
        <v>0.50937396488903608</v>
      </c>
      <c r="S50" s="56" t="s">
        <v>41</v>
      </c>
      <c r="T50" s="56">
        <v>0.98413291021093896</v>
      </c>
      <c r="U50" s="116">
        <v>6118</v>
      </c>
      <c r="V50" s="116">
        <v>0</v>
      </c>
      <c r="W50" s="116">
        <v>0</v>
      </c>
      <c r="X50" s="116">
        <v>6118</v>
      </c>
      <c r="Y50" s="116">
        <v>174</v>
      </c>
      <c r="Z50" s="116">
        <v>6292</v>
      </c>
      <c r="AA50" s="116">
        <v>1304</v>
      </c>
      <c r="AB50" s="116">
        <v>657</v>
      </c>
      <c r="AC50" s="10" t="s">
        <v>813</v>
      </c>
    </row>
    <row r="51" spans="2:29" x14ac:dyDescent="0.15">
      <c r="B51" s="105" t="s">
        <v>174</v>
      </c>
      <c r="C51" s="105" t="s">
        <v>760</v>
      </c>
      <c r="D51" s="32" t="s">
        <v>175</v>
      </c>
      <c r="E51" s="33">
        <v>0</v>
      </c>
      <c r="F51" s="33">
        <v>6569</v>
      </c>
      <c r="G51" s="33">
        <v>0</v>
      </c>
      <c r="H51" s="33">
        <v>6569</v>
      </c>
      <c r="I51" s="33">
        <v>0</v>
      </c>
      <c r="J51" s="33">
        <v>6085</v>
      </c>
      <c r="K51" s="33">
        <v>0</v>
      </c>
      <c r="L51" s="33">
        <v>6085</v>
      </c>
      <c r="M51" s="33">
        <v>0</v>
      </c>
      <c r="N51" s="33">
        <v>484</v>
      </c>
      <c r="O51" s="33">
        <v>0</v>
      </c>
      <c r="P51" s="33">
        <v>484</v>
      </c>
      <c r="Q51" s="56">
        <v>0.92632059674227429</v>
      </c>
      <c r="R51" s="56" t="s">
        <v>41</v>
      </c>
      <c r="S51" s="56">
        <v>0.92632059674227429</v>
      </c>
      <c r="T51" s="56" t="s">
        <v>41</v>
      </c>
      <c r="U51" s="116">
        <v>0</v>
      </c>
      <c r="V51" s="116">
        <v>9</v>
      </c>
      <c r="W51" s="116">
        <v>0</v>
      </c>
      <c r="X51" s="116">
        <v>9</v>
      </c>
      <c r="Y51" s="116">
        <v>230</v>
      </c>
      <c r="Z51" s="116">
        <v>239</v>
      </c>
      <c r="AA51" s="116">
        <v>0</v>
      </c>
      <c r="AB51" s="116">
        <v>0</v>
      </c>
      <c r="AC51" s="10" t="s">
        <v>813</v>
      </c>
    </row>
    <row r="52" spans="2:29" x14ac:dyDescent="0.15">
      <c r="B52" s="105" t="s">
        <v>146</v>
      </c>
      <c r="C52" s="105" t="s">
        <v>760</v>
      </c>
      <c r="D52" s="32" t="s">
        <v>147</v>
      </c>
      <c r="E52" s="33">
        <v>0</v>
      </c>
      <c r="F52" s="33">
        <v>0</v>
      </c>
      <c r="G52" s="33">
        <v>1626</v>
      </c>
      <c r="H52" s="33">
        <v>1626</v>
      </c>
      <c r="I52" s="33">
        <v>0</v>
      </c>
      <c r="J52" s="33">
        <v>0</v>
      </c>
      <c r="K52" s="33">
        <v>1598</v>
      </c>
      <c r="L52" s="33">
        <v>1598</v>
      </c>
      <c r="M52" s="33">
        <v>0</v>
      </c>
      <c r="N52" s="33">
        <v>0</v>
      </c>
      <c r="O52" s="33">
        <v>28</v>
      </c>
      <c r="P52" s="33">
        <v>28</v>
      </c>
      <c r="Q52" s="56">
        <v>0.98277982779827799</v>
      </c>
      <c r="R52" s="56" t="s">
        <v>41</v>
      </c>
      <c r="S52" s="56" t="s">
        <v>41</v>
      </c>
      <c r="T52" s="56">
        <v>0.98277982779827799</v>
      </c>
      <c r="U52" s="116">
        <v>0</v>
      </c>
      <c r="V52" s="116">
        <v>0</v>
      </c>
      <c r="W52" s="116">
        <v>0</v>
      </c>
      <c r="X52" s="116">
        <v>0</v>
      </c>
      <c r="Y52" s="116">
        <v>0</v>
      </c>
      <c r="Z52" s="116">
        <v>0</v>
      </c>
      <c r="AA52" s="116">
        <v>0</v>
      </c>
      <c r="AB52" s="116">
        <v>0</v>
      </c>
      <c r="AC52" s="10" t="s">
        <v>67</v>
      </c>
    </row>
    <row r="53" spans="2:29" x14ac:dyDescent="0.15">
      <c r="B53" s="105" t="s">
        <v>178</v>
      </c>
      <c r="C53" s="105" t="s">
        <v>760</v>
      </c>
      <c r="D53" s="32" t="s">
        <v>179</v>
      </c>
      <c r="E53" s="33">
        <v>27627</v>
      </c>
      <c r="F53" s="33">
        <v>625</v>
      </c>
      <c r="G53" s="33">
        <v>16844</v>
      </c>
      <c r="H53" s="33">
        <v>45096</v>
      </c>
      <c r="I53" s="33">
        <v>19407</v>
      </c>
      <c r="J53" s="33">
        <v>624</v>
      </c>
      <c r="K53" s="33">
        <v>16090</v>
      </c>
      <c r="L53" s="33">
        <v>36121</v>
      </c>
      <c r="M53" s="33">
        <v>8220</v>
      </c>
      <c r="N53" s="33">
        <v>1</v>
      </c>
      <c r="O53" s="33">
        <v>754</v>
      </c>
      <c r="P53" s="33">
        <v>8975</v>
      </c>
      <c r="Q53" s="56">
        <v>0.80098013127550116</v>
      </c>
      <c r="R53" s="56">
        <v>0.70246497991095669</v>
      </c>
      <c r="S53" s="56">
        <v>0.99839999999999995</v>
      </c>
      <c r="T53" s="56">
        <v>0.95523628591783427</v>
      </c>
      <c r="U53" s="116">
        <v>6577</v>
      </c>
      <c r="V53" s="116">
        <v>2</v>
      </c>
      <c r="W53" s="116">
        <v>131</v>
      </c>
      <c r="X53" s="116">
        <v>6710</v>
      </c>
      <c r="Y53" s="116">
        <v>769</v>
      </c>
      <c r="Z53" s="116">
        <v>7479</v>
      </c>
      <c r="AA53" s="116">
        <v>2899</v>
      </c>
      <c r="AB53" s="116">
        <v>2031</v>
      </c>
      <c r="AC53" s="10" t="s">
        <v>813</v>
      </c>
    </row>
    <row r="54" spans="2:29" x14ac:dyDescent="0.15">
      <c r="B54" s="105" t="s">
        <v>181</v>
      </c>
      <c r="C54" s="105" t="s">
        <v>760</v>
      </c>
      <c r="D54" s="32" t="s">
        <v>182</v>
      </c>
      <c r="E54" s="33">
        <v>0</v>
      </c>
      <c r="F54" s="33">
        <v>0</v>
      </c>
      <c r="G54" s="33">
        <v>0</v>
      </c>
      <c r="H54" s="33">
        <v>0</v>
      </c>
      <c r="I54" s="33">
        <v>0</v>
      </c>
      <c r="J54" s="33">
        <v>0</v>
      </c>
      <c r="K54" s="33">
        <v>0</v>
      </c>
      <c r="L54" s="33">
        <v>0</v>
      </c>
      <c r="M54" s="33">
        <v>0</v>
      </c>
      <c r="N54" s="33">
        <v>0</v>
      </c>
      <c r="O54" s="33">
        <v>0</v>
      </c>
      <c r="P54" s="33">
        <v>0</v>
      </c>
      <c r="Q54" s="56" t="s">
        <v>41</v>
      </c>
      <c r="R54" s="56" t="s">
        <v>41</v>
      </c>
      <c r="S54" s="56" t="s">
        <v>41</v>
      </c>
      <c r="T54" s="56" t="s">
        <v>41</v>
      </c>
      <c r="U54" s="116">
        <v>0</v>
      </c>
      <c r="V54" s="116">
        <v>0</v>
      </c>
      <c r="W54" s="116">
        <v>0</v>
      </c>
      <c r="X54" s="116">
        <v>0</v>
      </c>
      <c r="Y54" s="116">
        <v>28</v>
      </c>
      <c r="Z54" s="116">
        <v>28</v>
      </c>
      <c r="AA54" s="116">
        <v>0</v>
      </c>
      <c r="AB54" s="116">
        <v>0</v>
      </c>
      <c r="AC54" s="10" t="s">
        <v>813</v>
      </c>
    </row>
    <row r="55" spans="2:29" x14ac:dyDescent="0.15">
      <c r="B55" s="105" t="s">
        <v>276</v>
      </c>
      <c r="C55" s="105" t="s">
        <v>760</v>
      </c>
      <c r="D55" s="32" t="s">
        <v>722</v>
      </c>
      <c r="E55" s="33">
        <v>10006</v>
      </c>
      <c r="F55" s="33">
        <v>0</v>
      </c>
      <c r="G55" s="33">
        <v>4101</v>
      </c>
      <c r="H55" s="33">
        <v>14107</v>
      </c>
      <c r="I55" s="33">
        <v>7127</v>
      </c>
      <c r="J55" s="33">
        <v>0</v>
      </c>
      <c r="K55" s="33">
        <v>3907</v>
      </c>
      <c r="L55" s="33">
        <v>11034</v>
      </c>
      <c r="M55" s="33">
        <v>2879</v>
      </c>
      <c r="N55" s="33">
        <v>0</v>
      </c>
      <c r="O55" s="33">
        <v>194</v>
      </c>
      <c r="P55" s="33">
        <v>3073</v>
      </c>
      <c r="Q55" s="56">
        <v>0.78216488268235629</v>
      </c>
      <c r="R55" s="56">
        <v>0.71227263641814909</v>
      </c>
      <c r="S55" s="56" t="s">
        <v>41</v>
      </c>
      <c r="T55" s="56">
        <v>0.95269446476469155</v>
      </c>
      <c r="U55" s="116">
        <v>1925</v>
      </c>
      <c r="V55" s="116">
        <v>0</v>
      </c>
      <c r="W55" s="116">
        <v>0</v>
      </c>
      <c r="X55" s="116">
        <v>1925</v>
      </c>
      <c r="Y55" s="116">
        <v>458</v>
      </c>
      <c r="Z55" s="116">
        <v>2383</v>
      </c>
      <c r="AA55" s="116">
        <v>645</v>
      </c>
      <c r="AB55" s="116">
        <v>287</v>
      </c>
      <c r="AC55" s="10" t="s">
        <v>111</v>
      </c>
    </row>
    <row r="56" spans="2:29" x14ac:dyDescent="0.15">
      <c r="B56" s="105" t="s">
        <v>222</v>
      </c>
      <c r="C56" s="105" t="s">
        <v>760</v>
      </c>
      <c r="D56" s="32" t="s">
        <v>223</v>
      </c>
      <c r="E56" s="33">
        <v>5219</v>
      </c>
      <c r="F56" s="33">
        <v>0</v>
      </c>
      <c r="G56" s="33">
        <v>7405</v>
      </c>
      <c r="H56" s="33">
        <v>12624</v>
      </c>
      <c r="I56" s="33">
        <v>3001</v>
      </c>
      <c r="J56" s="33">
        <v>0</v>
      </c>
      <c r="K56" s="33">
        <v>7332</v>
      </c>
      <c r="L56" s="33">
        <v>10333</v>
      </c>
      <c r="M56" s="33">
        <v>2218</v>
      </c>
      <c r="N56" s="33">
        <v>0</v>
      </c>
      <c r="O56" s="33">
        <v>73</v>
      </c>
      <c r="P56" s="33">
        <v>2291</v>
      </c>
      <c r="Q56" s="56">
        <v>0.81852027883396705</v>
      </c>
      <c r="R56" s="56">
        <v>0.57501437056907456</v>
      </c>
      <c r="S56" s="56" t="s">
        <v>41</v>
      </c>
      <c r="T56" s="56">
        <v>0.99014179608372721</v>
      </c>
      <c r="U56" s="116">
        <v>1828</v>
      </c>
      <c r="V56" s="116">
        <v>0</v>
      </c>
      <c r="W56" s="116">
        <v>0</v>
      </c>
      <c r="X56" s="116">
        <v>1828</v>
      </c>
      <c r="Y56" s="116">
        <v>86</v>
      </c>
      <c r="Z56" s="116">
        <v>1914</v>
      </c>
      <c r="AA56" s="116">
        <v>462</v>
      </c>
      <c r="AB56" s="116">
        <v>6</v>
      </c>
      <c r="AC56" s="10" t="s">
        <v>813</v>
      </c>
    </row>
    <row r="57" spans="2:29" x14ac:dyDescent="0.15">
      <c r="B57" s="105" t="s">
        <v>188</v>
      </c>
      <c r="C57" s="105" t="s">
        <v>760</v>
      </c>
      <c r="D57" s="32" t="s">
        <v>189</v>
      </c>
      <c r="E57" s="33">
        <v>14600</v>
      </c>
      <c r="F57" s="33">
        <v>0</v>
      </c>
      <c r="G57" s="33">
        <v>0</v>
      </c>
      <c r="H57" s="33">
        <v>14600</v>
      </c>
      <c r="I57" s="33">
        <v>10900</v>
      </c>
      <c r="J57" s="33">
        <v>0</v>
      </c>
      <c r="K57" s="33">
        <v>0</v>
      </c>
      <c r="L57" s="33">
        <v>10900</v>
      </c>
      <c r="M57" s="33">
        <v>3700</v>
      </c>
      <c r="N57" s="33">
        <v>0</v>
      </c>
      <c r="O57" s="33">
        <v>0</v>
      </c>
      <c r="P57" s="33">
        <v>3700</v>
      </c>
      <c r="Q57" s="56">
        <v>0.74657534246575341</v>
      </c>
      <c r="R57" s="56">
        <v>0.74657534246575341</v>
      </c>
      <c r="S57" s="56" t="s">
        <v>41</v>
      </c>
      <c r="T57" s="56" t="s">
        <v>41</v>
      </c>
      <c r="U57" s="116">
        <v>1418</v>
      </c>
      <c r="V57" s="116">
        <v>0</v>
      </c>
      <c r="W57" s="116">
        <v>0</v>
      </c>
      <c r="X57" s="116">
        <v>1418</v>
      </c>
      <c r="Y57" s="116">
        <v>328</v>
      </c>
      <c r="Z57" s="116">
        <v>1746</v>
      </c>
      <c r="AA57" s="116">
        <v>642</v>
      </c>
      <c r="AB57" s="116">
        <v>246</v>
      </c>
      <c r="AC57" s="10" t="s">
        <v>813</v>
      </c>
    </row>
    <row r="58" spans="2:29" x14ac:dyDescent="0.15">
      <c r="B58" s="105" t="s">
        <v>185</v>
      </c>
      <c r="C58" s="105" t="s">
        <v>760</v>
      </c>
      <c r="D58" s="32" t="s">
        <v>723</v>
      </c>
      <c r="E58" s="33">
        <v>9715</v>
      </c>
      <c r="F58" s="33">
        <v>0</v>
      </c>
      <c r="G58" s="33">
        <v>0</v>
      </c>
      <c r="H58" s="33">
        <v>9715</v>
      </c>
      <c r="I58" s="33">
        <v>7009</v>
      </c>
      <c r="J58" s="33">
        <v>0</v>
      </c>
      <c r="K58" s="33">
        <v>0</v>
      </c>
      <c r="L58" s="33">
        <v>7009</v>
      </c>
      <c r="M58" s="33">
        <v>2706</v>
      </c>
      <c r="N58" s="33">
        <v>0</v>
      </c>
      <c r="O58" s="33">
        <v>0</v>
      </c>
      <c r="P58" s="33">
        <v>2706</v>
      </c>
      <c r="Q58" s="56">
        <v>0.72146165723108591</v>
      </c>
      <c r="R58" s="56">
        <v>0.72146165723108591</v>
      </c>
      <c r="S58" s="56" t="s">
        <v>41</v>
      </c>
      <c r="T58" s="56" t="s">
        <v>41</v>
      </c>
      <c r="U58" s="116">
        <v>1321</v>
      </c>
      <c r="V58" s="116">
        <v>0</v>
      </c>
      <c r="W58" s="116">
        <v>0</v>
      </c>
      <c r="X58" s="116">
        <v>1321</v>
      </c>
      <c r="Y58" s="116">
        <v>41</v>
      </c>
      <c r="Z58" s="116">
        <v>1362</v>
      </c>
      <c r="AA58" s="116">
        <v>506</v>
      </c>
      <c r="AB58" s="116">
        <v>278</v>
      </c>
      <c r="AC58" s="10" t="s">
        <v>813</v>
      </c>
    </row>
    <row r="59" spans="2:29" x14ac:dyDescent="0.15">
      <c r="B59" s="105" t="s">
        <v>295</v>
      </c>
      <c r="C59" s="105" t="s">
        <v>872</v>
      </c>
      <c r="D59" s="32" t="s">
        <v>724</v>
      </c>
      <c r="E59" s="33">
        <v>4840</v>
      </c>
      <c r="F59" s="33">
        <v>0</v>
      </c>
      <c r="G59" s="33">
        <v>897</v>
      </c>
      <c r="H59" s="33">
        <v>5737</v>
      </c>
      <c r="I59" s="33">
        <v>3592</v>
      </c>
      <c r="J59" s="33">
        <v>0</v>
      </c>
      <c r="K59" s="33">
        <v>897</v>
      </c>
      <c r="L59" s="33">
        <v>4489</v>
      </c>
      <c r="M59" s="33">
        <v>1248</v>
      </c>
      <c r="N59" s="33">
        <v>0</v>
      </c>
      <c r="O59" s="33">
        <v>0</v>
      </c>
      <c r="P59" s="33">
        <v>1248</v>
      </c>
      <c r="Q59" s="56">
        <v>0.78246470280634473</v>
      </c>
      <c r="R59" s="56">
        <v>0.74214876033057853</v>
      </c>
      <c r="S59" s="56" t="s">
        <v>41</v>
      </c>
      <c r="T59" s="56">
        <v>1</v>
      </c>
      <c r="U59" s="116">
        <v>628</v>
      </c>
      <c r="V59" s="116">
        <v>0</v>
      </c>
      <c r="W59" s="116">
        <v>0</v>
      </c>
      <c r="X59" s="116">
        <v>628</v>
      </c>
      <c r="Y59" s="116">
        <v>244</v>
      </c>
      <c r="Z59" s="116">
        <v>872</v>
      </c>
      <c r="AA59" s="116">
        <v>24</v>
      </c>
      <c r="AB59" s="116">
        <v>3</v>
      </c>
      <c r="AC59" s="10" t="s">
        <v>47</v>
      </c>
    </row>
    <row r="60" spans="2:29" x14ac:dyDescent="0.15">
      <c r="B60" s="105" t="s">
        <v>330</v>
      </c>
      <c r="C60" s="105" t="s">
        <v>872</v>
      </c>
      <c r="D60" s="32" t="s">
        <v>331</v>
      </c>
      <c r="E60" s="33">
        <v>6890</v>
      </c>
      <c r="F60" s="33">
        <v>0</v>
      </c>
      <c r="G60" s="33">
        <v>5220</v>
      </c>
      <c r="H60" s="33">
        <v>12110</v>
      </c>
      <c r="I60" s="33">
        <v>3540</v>
      </c>
      <c r="J60" s="33">
        <v>0</v>
      </c>
      <c r="K60" s="33">
        <v>5152</v>
      </c>
      <c r="L60" s="33">
        <v>8692</v>
      </c>
      <c r="M60" s="33">
        <v>3350</v>
      </c>
      <c r="N60" s="33">
        <v>0</v>
      </c>
      <c r="O60" s="33">
        <v>68</v>
      </c>
      <c r="P60" s="33">
        <v>3418</v>
      </c>
      <c r="Q60" s="56">
        <v>0.71775392237819979</v>
      </c>
      <c r="R60" s="56">
        <v>0.51378809869375908</v>
      </c>
      <c r="S60" s="56" t="s">
        <v>41</v>
      </c>
      <c r="T60" s="56">
        <v>0.98697318007662838</v>
      </c>
      <c r="U60" s="116">
        <v>2027</v>
      </c>
      <c r="V60" s="116">
        <v>0</v>
      </c>
      <c r="W60" s="116">
        <v>22</v>
      </c>
      <c r="X60" s="116">
        <v>2049</v>
      </c>
      <c r="Y60" s="116">
        <v>129</v>
      </c>
      <c r="Z60" s="116">
        <v>2178</v>
      </c>
      <c r="AA60" s="116">
        <v>796</v>
      </c>
      <c r="AB60" s="116">
        <v>180</v>
      </c>
      <c r="AC60" s="10" t="s">
        <v>85</v>
      </c>
    </row>
    <row r="61" spans="2:29" x14ac:dyDescent="0.15">
      <c r="B61" s="105" t="s">
        <v>307</v>
      </c>
      <c r="C61" s="105" t="s">
        <v>872</v>
      </c>
      <c r="D61" s="32" t="s">
        <v>863</v>
      </c>
      <c r="E61" s="33">
        <v>0</v>
      </c>
      <c r="F61" s="33">
        <v>0</v>
      </c>
      <c r="G61" s="33">
        <v>0</v>
      </c>
      <c r="H61" s="33">
        <v>0</v>
      </c>
      <c r="I61" s="33">
        <v>0</v>
      </c>
      <c r="J61" s="33">
        <v>0</v>
      </c>
      <c r="K61" s="33">
        <v>0</v>
      </c>
      <c r="L61" s="33">
        <v>0</v>
      </c>
      <c r="M61" s="33">
        <v>0</v>
      </c>
      <c r="N61" s="33">
        <v>0</v>
      </c>
      <c r="O61" s="33">
        <v>0</v>
      </c>
      <c r="P61" s="33">
        <v>0</v>
      </c>
      <c r="Q61" s="56" t="s">
        <v>41</v>
      </c>
      <c r="R61" s="56" t="s">
        <v>41</v>
      </c>
      <c r="S61" s="56" t="s">
        <v>41</v>
      </c>
      <c r="T61" s="56" t="s">
        <v>41</v>
      </c>
      <c r="U61" s="116">
        <v>0</v>
      </c>
      <c r="V61" s="116">
        <v>0</v>
      </c>
      <c r="W61" s="116">
        <v>6</v>
      </c>
      <c r="X61" s="116">
        <v>6</v>
      </c>
      <c r="Y61" s="116">
        <v>34</v>
      </c>
      <c r="Z61" s="116">
        <v>40</v>
      </c>
      <c r="AA61" s="116">
        <v>0</v>
      </c>
      <c r="AB61" s="116">
        <v>0</v>
      </c>
      <c r="AC61" s="10" t="s">
        <v>59</v>
      </c>
    </row>
    <row r="62" spans="2:29" x14ac:dyDescent="0.15">
      <c r="B62" s="105" t="s">
        <v>334</v>
      </c>
      <c r="C62" s="105" t="s">
        <v>872</v>
      </c>
      <c r="D62" s="32" t="s">
        <v>335</v>
      </c>
      <c r="E62" s="33">
        <v>0</v>
      </c>
      <c r="F62" s="33">
        <v>0</v>
      </c>
      <c r="G62" s="33">
        <v>8152</v>
      </c>
      <c r="H62" s="33">
        <v>8152</v>
      </c>
      <c r="I62" s="33">
        <v>0</v>
      </c>
      <c r="J62" s="33">
        <v>0</v>
      </c>
      <c r="K62" s="33">
        <v>7666</v>
      </c>
      <c r="L62" s="33">
        <v>7666</v>
      </c>
      <c r="M62" s="33">
        <v>0</v>
      </c>
      <c r="N62" s="33">
        <v>0</v>
      </c>
      <c r="O62" s="33">
        <v>486</v>
      </c>
      <c r="P62" s="33">
        <v>486</v>
      </c>
      <c r="Q62" s="56">
        <v>0.94038272816486757</v>
      </c>
      <c r="R62" s="56" t="s">
        <v>41</v>
      </c>
      <c r="S62" s="56" t="s">
        <v>41</v>
      </c>
      <c r="T62" s="56">
        <v>0.94038272816486757</v>
      </c>
      <c r="U62" s="116">
        <v>0</v>
      </c>
      <c r="V62" s="116">
        <v>0</v>
      </c>
      <c r="W62" s="116">
        <v>0</v>
      </c>
      <c r="X62" s="116">
        <v>0</v>
      </c>
      <c r="Y62" s="116">
        <v>0</v>
      </c>
      <c r="Z62" s="116">
        <v>0</v>
      </c>
      <c r="AA62" s="116">
        <v>0</v>
      </c>
      <c r="AB62" s="116">
        <v>0</v>
      </c>
      <c r="AC62" s="10" t="s">
        <v>85</v>
      </c>
    </row>
    <row r="63" spans="2:29" x14ac:dyDescent="0.15">
      <c r="B63" s="105" t="s">
        <v>337</v>
      </c>
      <c r="C63" s="105" t="s">
        <v>872</v>
      </c>
      <c r="D63" s="32" t="s">
        <v>815</v>
      </c>
      <c r="E63" s="33">
        <v>0</v>
      </c>
      <c r="F63" s="33">
        <v>0</v>
      </c>
      <c r="G63" s="33">
        <v>1908</v>
      </c>
      <c r="H63" s="33">
        <v>1908</v>
      </c>
      <c r="I63" s="33">
        <v>0</v>
      </c>
      <c r="J63" s="33">
        <v>0</v>
      </c>
      <c r="K63" s="33">
        <v>1907</v>
      </c>
      <c r="L63" s="33">
        <v>1907</v>
      </c>
      <c r="M63" s="33">
        <v>0</v>
      </c>
      <c r="N63" s="33">
        <v>0</v>
      </c>
      <c r="O63" s="33">
        <v>1</v>
      </c>
      <c r="P63" s="33">
        <v>1</v>
      </c>
      <c r="Q63" s="56">
        <v>0.99947589098532497</v>
      </c>
      <c r="R63" s="56" t="s">
        <v>41</v>
      </c>
      <c r="S63" s="56" t="s">
        <v>41</v>
      </c>
      <c r="T63" s="56">
        <v>0.99947589098532497</v>
      </c>
      <c r="U63" s="116">
        <v>0</v>
      </c>
      <c r="V63" s="116">
        <v>0</v>
      </c>
      <c r="W63" s="116">
        <v>0</v>
      </c>
      <c r="X63" s="116">
        <v>0</v>
      </c>
      <c r="Y63" s="116">
        <v>0</v>
      </c>
      <c r="Z63" s="116">
        <v>0</v>
      </c>
      <c r="AA63" s="116">
        <v>0</v>
      </c>
      <c r="AB63" s="116">
        <v>0</v>
      </c>
      <c r="AC63" s="10" t="s">
        <v>85</v>
      </c>
    </row>
    <row r="64" spans="2:29" x14ac:dyDescent="0.15">
      <c r="B64" s="105" t="s">
        <v>808</v>
      </c>
      <c r="C64" s="105" t="s">
        <v>872</v>
      </c>
      <c r="D64" s="32" t="s">
        <v>806</v>
      </c>
      <c r="E64" s="33">
        <v>0</v>
      </c>
      <c r="F64" s="33">
        <v>0</v>
      </c>
      <c r="G64" s="33">
        <v>317</v>
      </c>
      <c r="H64" s="33">
        <v>317</v>
      </c>
      <c r="I64" s="33">
        <v>0</v>
      </c>
      <c r="J64" s="33">
        <v>0</v>
      </c>
      <c r="K64" s="33">
        <v>317</v>
      </c>
      <c r="L64" s="33">
        <v>317</v>
      </c>
      <c r="M64" s="33">
        <v>0</v>
      </c>
      <c r="N64" s="33">
        <v>0</v>
      </c>
      <c r="O64" s="33">
        <v>0</v>
      </c>
      <c r="P64" s="33">
        <v>0</v>
      </c>
      <c r="Q64" s="56">
        <v>1</v>
      </c>
      <c r="R64" s="56" t="s">
        <v>41</v>
      </c>
      <c r="S64" s="56" t="s">
        <v>41</v>
      </c>
      <c r="T64" s="56">
        <v>1</v>
      </c>
      <c r="U64" s="116">
        <v>0</v>
      </c>
      <c r="V64" s="116">
        <v>0</v>
      </c>
      <c r="W64" s="116">
        <v>0</v>
      </c>
      <c r="X64" s="116">
        <v>0</v>
      </c>
      <c r="Y64" s="116">
        <v>0</v>
      </c>
      <c r="Z64" s="116">
        <v>0</v>
      </c>
      <c r="AA64" s="116">
        <v>0</v>
      </c>
      <c r="AB64" s="116">
        <v>0</v>
      </c>
      <c r="AC64" s="10" t="s">
        <v>89</v>
      </c>
    </row>
    <row r="65" spans="2:29" x14ac:dyDescent="0.15">
      <c r="B65" s="105" t="s">
        <v>309</v>
      </c>
      <c r="C65" s="105" t="s">
        <v>872</v>
      </c>
      <c r="D65" s="32" t="s">
        <v>310</v>
      </c>
      <c r="E65" s="33">
        <v>7779</v>
      </c>
      <c r="F65" s="33">
        <v>0</v>
      </c>
      <c r="G65" s="33">
        <v>1653</v>
      </c>
      <c r="H65" s="33">
        <v>9432</v>
      </c>
      <c r="I65" s="33">
        <v>6527</v>
      </c>
      <c r="J65" s="33">
        <v>0</v>
      </c>
      <c r="K65" s="33">
        <v>1653</v>
      </c>
      <c r="L65" s="33">
        <v>8180</v>
      </c>
      <c r="M65" s="33">
        <v>1252</v>
      </c>
      <c r="N65" s="33">
        <v>0</v>
      </c>
      <c r="O65" s="33">
        <v>0</v>
      </c>
      <c r="P65" s="33">
        <v>1252</v>
      </c>
      <c r="Q65" s="56">
        <v>0.86726039016115353</v>
      </c>
      <c r="R65" s="56">
        <v>0.83905386296439133</v>
      </c>
      <c r="S65" s="56" t="s">
        <v>41</v>
      </c>
      <c r="T65" s="56">
        <v>1</v>
      </c>
      <c r="U65" s="116">
        <v>1106</v>
      </c>
      <c r="V65" s="116">
        <v>0</v>
      </c>
      <c r="W65" s="116">
        <v>1</v>
      </c>
      <c r="X65" s="116">
        <v>1107</v>
      </c>
      <c r="Y65" s="116">
        <v>0</v>
      </c>
      <c r="Z65" s="116">
        <v>1107</v>
      </c>
      <c r="AA65" s="116">
        <v>707</v>
      </c>
      <c r="AB65" s="116">
        <v>354</v>
      </c>
      <c r="AC65" s="10" t="s">
        <v>59</v>
      </c>
    </row>
    <row r="66" spans="2:29" x14ac:dyDescent="0.15">
      <c r="B66" s="105" t="s">
        <v>376</v>
      </c>
      <c r="C66" s="105" t="s">
        <v>872</v>
      </c>
      <c r="D66" s="32" t="s">
        <v>377</v>
      </c>
      <c r="E66" s="33">
        <v>11028</v>
      </c>
      <c r="F66" s="33">
        <v>0</v>
      </c>
      <c r="G66" s="33">
        <v>8976</v>
      </c>
      <c r="H66" s="33">
        <v>20004</v>
      </c>
      <c r="I66" s="33">
        <v>6689</v>
      </c>
      <c r="J66" s="33">
        <v>0</v>
      </c>
      <c r="K66" s="33">
        <v>8955</v>
      </c>
      <c r="L66" s="33">
        <v>15644</v>
      </c>
      <c r="M66" s="33">
        <v>4339</v>
      </c>
      <c r="N66" s="33">
        <v>0</v>
      </c>
      <c r="O66" s="33">
        <v>21</v>
      </c>
      <c r="P66" s="33">
        <v>4360</v>
      </c>
      <c r="Q66" s="56">
        <v>0.78204359128174361</v>
      </c>
      <c r="R66" s="56">
        <v>0.6065469713456656</v>
      </c>
      <c r="S66" s="56" t="s">
        <v>41</v>
      </c>
      <c r="T66" s="56">
        <v>0.99766042780748665</v>
      </c>
      <c r="U66" s="116">
        <v>1943</v>
      </c>
      <c r="V66" s="116">
        <v>0</v>
      </c>
      <c r="W66" s="116">
        <v>0</v>
      </c>
      <c r="X66" s="116">
        <v>1943</v>
      </c>
      <c r="Y66" s="116">
        <v>248</v>
      </c>
      <c r="Z66" s="116">
        <v>2191</v>
      </c>
      <c r="AA66" s="116">
        <v>1262</v>
      </c>
      <c r="AB66" s="116">
        <v>743</v>
      </c>
      <c r="AC66" s="10" t="s">
        <v>101</v>
      </c>
    </row>
    <row r="67" spans="2:29" x14ac:dyDescent="0.15">
      <c r="B67" s="105" t="s">
        <v>339</v>
      </c>
      <c r="C67" s="105" t="s">
        <v>872</v>
      </c>
      <c r="D67" s="32" t="s">
        <v>340</v>
      </c>
      <c r="E67" s="33">
        <v>0</v>
      </c>
      <c r="F67" s="33">
        <v>0</v>
      </c>
      <c r="G67" s="33">
        <v>384</v>
      </c>
      <c r="H67" s="33">
        <v>384</v>
      </c>
      <c r="I67" s="33">
        <v>0</v>
      </c>
      <c r="J67" s="33">
        <v>0</v>
      </c>
      <c r="K67" s="33">
        <v>384</v>
      </c>
      <c r="L67" s="33">
        <v>384</v>
      </c>
      <c r="M67" s="33">
        <v>0</v>
      </c>
      <c r="N67" s="33">
        <v>0</v>
      </c>
      <c r="O67" s="33">
        <v>0</v>
      </c>
      <c r="P67" s="33">
        <v>0</v>
      </c>
      <c r="Q67" s="56">
        <v>1</v>
      </c>
      <c r="R67" s="56" t="s">
        <v>41</v>
      </c>
      <c r="S67" s="56" t="s">
        <v>41</v>
      </c>
      <c r="T67" s="56">
        <v>1</v>
      </c>
      <c r="U67" s="116">
        <v>0</v>
      </c>
      <c r="V67" s="116">
        <v>0</v>
      </c>
      <c r="W67" s="116">
        <v>0</v>
      </c>
      <c r="X67" s="116">
        <v>0</v>
      </c>
      <c r="Y67" s="116">
        <v>0</v>
      </c>
      <c r="Z67" s="116">
        <v>0</v>
      </c>
      <c r="AA67" s="116">
        <v>0</v>
      </c>
      <c r="AB67" s="116">
        <v>0</v>
      </c>
      <c r="AC67" s="10" t="s">
        <v>89</v>
      </c>
    </row>
    <row r="68" spans="2:29" x14ac:dyDescent="0.15">
      <c r="B68" s="105" t="s">
        <v>358</v>
      </c>
      <c r="C68" s="105" t="s">
        <v>872</v>
      </c>
      <c r="D68" s="32" t="s">
        <v>359</v>
      </c>
      <c r="E68" s="33">
        <v>0</v>
      </c>
      <c r="F68" s="33">
        <v>0</v>
      </c>
      <c r="G68" s="33">
        <v>9745</v>
      </c>
      <c r="H68" s="33">
        <v>9745</v>
      </c>
      <c r="I68" s="33">
        <v>0</v>
      </c>
      <c r="J68" s="33">
        <v>0</v>
      </c>
      <c r="K68" s="33">
        <v>9507</v>
      </c>
      <c r="L68" s="33">
        <v>9507</v>
      </c>
      <c r="M68" s="33">
        <v>0</v>
      </c>
      <c r="N68" s="33">
        <v>0</v>
      </c>
      <c r="O68" s="33">
        <v>238</v>
      </c>
      <c r="P68" s="33">
        <v>238</v>
      </c>
      <c r="Q68" s="56">
        <v>0.97557721908671113</v>
      </c>
      <c r="R68" s="56" t="s">
        <v>41</v>
      </c>
      <c r="S68" s="56" t="s">
        <v>41</v>
      </c>
      <c r="T68" s="56">
        <v>0.97557721908671113</v>
      </c>
      <c r="U68" s="116">
        <v>0</v>
      </c>
      <c r="V68" s="116">
        <v>0</v>
      </c>
      <c r="W68" s="116">
        <v>0</v>
      </c>
      <c r="X68" s="116">
        <v>0</v>
      </c>
      <c r="Y68" s="116">
        <v>0</v>
      </c>
      <c r="Z68" s="116">
        <v>0</v>
      </c>
      <c r="AA68" s="116">
        <v>0</v>
      </c>
      <c r="AB68" s="116">
        <v>0</v>
      </c>
      <c r="AC68" s="10" t="s">
        <v>91</v>
      </c>
    </row>
    <row r="69" spans="2:29" x14ac:dyDescent="0.15">
      <c r="B69" s="105" t="s">
        <v>336</v>
      </c>
      <c r="C69" s="105" t="s">
        <v>872</v>
      </c>
      <c r="D69" s="32" t="s">
        <v>816</v>
      </c>
      <c r="E69" s="33">
        <v>0</v>
      </c>
      <c r="F69" s="33">
        <v>0</v>
      </c>
      <c r="G69" s="33">
        <v>2676</v>
      </c>
      <c r="H69" s="33">
        <v>2676</v>
      </c>
      <c r="I69" s="33">
        <v>0</v>
      </c>
      <c r="J69" s="33">
        <v>0</v>
      </c>
      <c r="K69" s="33">
        <v>2676</v>
      </c>
      <c r="L69" s="33">
        <v>2676</v>
      </c>
      <c r="M69" s="33">
        <v>0</v>
      </c>
      <c r="N69" s="33">
        <v>0</v>
      </c>
      <c r="O69" s="33">
        <v>0</v>
      </c>
      <c r="P69" s="33">
        <v>0</v>
      </c>
      <c r="Q69" s="56">
        <v>1</v>
      </c>
      <c r="R69" s="56" t="s">
        <v>41</v>
      </c>
      <c r="S69" s="56" t="s">
        <v>41</v>
      </c>
      <c r="T69" s="56">
        <v>1</v>
      </c>
      <c r="U69" s="116">
        <v>0</v>
      </c>
      <c r="V69" s="116">
        <v>0</v>
      </c>
      <c r="W69" s="116">
        <v>0</v>
      </c>
      <c r="X69" s="116">
        <v>0</v>
      </c>
      <c r="Y69" s="116">
        <v>0</v>
      </c>
      <c r="Z69" s="116">
        <v>0</v>
      </c>
      <c r="AA69" s="116">
        <v>0</v>
      </c>
      <c r="AB69" s="116">
        <v>0</v>
      </c>
      <c r="AC69" s="10" t="s">
        <v>89</v>
      </c>
    </row>
    <row r="70" spans="2:29" x14ac:dyDescent="0.15">
      <c r="B70" s="105" t="s">
        <v>341</v>
      </c>
      <c r="C70" s="105" t="s">
        <v>872</v>
      </c>
      <c r="D70" s="32" t="s">
        <v>342</v>
      </c>
      <c r="E70" s="33">
        <v>0</v>
      </c>
      <c r="F70" s="33">
        <v>0</v>
      </c>
      <c r="G70" s="33">
        <v>7847</v>
      </c>
      <c r="H70" s="33">
        <v>7847</v>
      </c>
      <c r="I70" s="33">
        <v>0</v>
      </c>
      <c r="J70" s="33">
        <v>0</v>
      </c>
      <c r="K70" s="33">
        <v>7795</v>
      </c>
      <c r="L70" s="33">
        <v>7795</v>
      </c>
      <c r="M70" s="33">
        <v>0</v>
      </c>
      <c r="N70" s="33">
        <v>0</v>
      </c>
      <c r="O70" s="33">
        <v>52</v>
      </c>
      <c r="P70" s="33">
        <v>52</v>
      </c>
      <c r="Q70" s="56">
        <v>0.99337326366764367</v>
      </c>
      <c r="R70" s="56" t="s">
        <v>41</v>
      </c>
      <c r="S70" s="56" t="s">
        <v>41</v>
      </c>
      <c r="T70" s="56">
        <v>0.99337326366764367</v>
      </c>
      <c r="U70" s="116">
        <v>0</v>
      </c>
      <c r="V70" s="116">
        <v>0</v>
      </c>
      <c r="W70" s="116">
        <v>0</v>
      </c>
      <c r="X70" s="116">
        <v>0</v>
      </c>
      <c r="Y70" s="116">
        <v>0</v>
      </c>
      <c r="Z70" s="116">
        <v>0</v>
      </c>
      <c r="AA70" s="116">
        <v>0</v>
      </c>
      <c r="AB70" s="116">
        <v>0</v>
      </c>
      <c r="AC70" s="10" t="s">
        <v>89</v>
      </c>
    </row>
    <row r="71" spans="2:29" x14ac:dyDescent="0.15">
      <c r="B71" s="105" t="s">
        <v>805</v>
      </c>
      <c r="C71" s="105" t="s">
        <v>872</v>
      </c>
      <c r="D71" s="32" t="s">
        <v>807</v>
      </c>
      <c r="E71" s="33">
        <v>0</v>
      </c>
      <c r="F71" s="33">
        <v>0</v>
      </c>
      <c r="G71" s="33">
        <v>139</v>
      </c>
      <c r="H71" s="33">
        <v>139</v>
      </c>
      <c r="I71" s="33">
        <v>0</v>
      </c>
      <c r="J71" s="33">
        <v>0</v>
      </c>
      <c r="K71" s="33">
        <v>139</v>
      </c>
      <c r="L71" s="33">
        <v>139</v>
      </c>
      <c r="M71" s="33">
        <v>0</v>
      </c>
      <c r="N71" s="33">
        <v>0</v>
      </c>
      <c r="O71" s="33">
        <v>0</v>
      </c>
      <c r="P71" s="33">
        <v>0</v>
      </c>
      <c r="Q71" s="56">
        <v>1</v>
      </c>
      <c r="R71" s="56" t="s">
        <v>41</v>
      </c>
      <c r="S71" s="56" t="s">
        <v>41</v>
      </c>
      <c r="T71" s="56">
        <v>1</v>
      </c>
      <c r="U71" s="116">
        <v>0</v>
      </c>
      <c r="V71" s="116">
        <v>0</v>
      </c>
      <c r="W71" s="116">
        <v>0</v>
      </c>
      <c r="X71" s="116">
        <v>0</v>
      </c>
      <c r="Y71" s="116">
        <v>0</v>
      </c>
      <c r="Z71" s="116">
        <v>0</v>
      </c>
      <c r="AA71" s="116">
        <v>0</v>
      </c>
      <c r="AB71" s="116">
        <v>0</v>
      </c>
      <c r="AC71" s="10" t="s">
        <v>89</v>
      </c>
    </row>
    <row r="72" spans="2:29" x14ac:dyDescent="0.15">
      <c r="B72" s="105" t="s">
        <v>345</v>
      </c>
      <c r="C72" s="105" t="s">
        <v>872</v>
      </c>
      <c r="D72" s="32" t="s">
        <v>817</v>
      </c>
      <c r="E72" s="33">
        <v>0</v>
      </c>
      <c r="F72" s="33">
        <v>0</v>
      </c>
      <c r="G72" s="33">
        <v>298</v>
      </c>
      <c r="H72" s="33">
        <v>298</v>
      </c>
      <c r="I72" s="33">
        <v>0</v>
      </c>
      <c r="J72" s="33">
        <v>0</v>
      </c>
      <c r="K72" s="33">
        <v>298</v>
      </c>
      <c r="L72" s="33">
        <v>298</v>
      </c>
      <c r="M72" s="33">
        <v>0</v>
      </c>
      <c r="N72" s="33">
        <v>0</v>
      </c>
      <c r="O72" s="33">
        <v>0</v>
      </c>
      <c r="P72" s="33">
        <v>0</v>
      </c>
      <c r="Q72" s="56">
        <v>1</v>
      </c>
      <c r="R72" s="56" t="s">
        <v>41</v>
      </c>
      <c r="S72" s="56" t="s">
        <v>41</v>
      </c>
      <c r="T72" s="56">
        <v>1</v>
      </c>
      <c r="U72" s="116">
        <v>0</v>
      </c>
      <c r="V72" s="116">
        <v>0</v>
      </c>
      <c r="W72" s="116">
        <v>0</v>
      </c>
      <c r="X72" s="116">
        <v>0</v>
      </c>
      <c r="Y72" s="116">
        <v>0</v>
      </c>
      <c r="Z72" s="116">
        <v>0</v>
      </c>
      <c r="AA72" s="116">
        <v>0</v>
      </c>
      <c r="AB72" s="116">
        <v>0</v>
      </c>
      <c r="AC72" s="10" t="s">
        <v>89</v>
      </c>
    </row>
    <row r="73" spans="2:29" x14ac:dyDescent="0.15">
      <c r="B73" s="105" t="s">
        <v>343</v>
      </c>
      <c r="C73" s="105" t="s">
        <v>872</v>
      </c>
      <c r="D73" s="32" t="s">
        <v>344</v>
      </c>
      <c r="E73" s="33">
        <v>0</v>
      </c>
      <c r="F73" s="33">
        <v>0</v>
      </c>
      <c r="G73" s="33">
        <v>323</v>
      </c>
      <c r="H73" s="33">
        <v>323</v>
      </c>
      <c r="I73" s="33">
        <v>0</v>
      </c>
      <c r="J73" s="33">
        <v>0</v>
      </c>
      <c r="K73" s="33">
        <v>323</v>
      </c>
      <c r="L73" s="33">
        <v>323</v>
      </c>
      <c r="M73" s="33">
        <v>0</v>
      </c>
      <c r="N73" s="33">
        <v>0</v>
      </c>
      <c r="O73" s="33">
        <v>0</v>
      </c>
      <c r="P73" s="33">
        <v>0</v>
      </c>
      <c r="Q73" s="56">
        <v>1</v>
      </c>
      <c r="R73" s="56" t="s">
        <v>41</v>
      </c>
      <c r="S73" s="56" t="s">
        <v>41</v>
      </c>
      <c r="T73" s="56">
        <v>1</v>
      </c>
      <c r="U73" s="116">
        <v>0</v>
      </c>
      <c r="V73" s="116">
        <v>0</v>
      </c>
      <c r="W73" s="116">
        <v>0</v>
      </c>
      <c r="X73" s="116">
        <v>0</v>
      </c>
      <c r="Y73" s="116">
        <v>0</v>
      </c>
      <c r="Z73" s="116">
        <v>0</v>
      </c>
      <c r="AA73" s="116">
        <v>0</v>
      </c>
      <c r="AB73" s="116">
        <v>0</v>
      </c>
      <c r="AC73" s="10" t="s">
        <v>89</v>
      </c>
    </row>
    <row r="74" spans="2:29" x14ac:dyDescent="0.15">
      <c r="B74" s="105" t="s">
        <v>347</v>
      </c>
      <c r="C74" s="105" t="s">
        <v>872</v>
      </c>
      <c r="D74" s="32" t="s">
        <v>818</v>
      </c>
      <c r="E74" s="33">
        <v>0</v>
      </c>
      <c r="F74" s="33">
        <v>0</v>
      </c>
      <c r="G74" s="33">
        <v>408</v>
      </c>
      <c r="H74" s="33">
        <v>408</v>
      </c>
      <c r="I74" s="33">
        <v>0</v>
      </c>
      <c r="J74" s="33">
        <v>0</v>
      </c>
      <c r="K74" s="33">
        <v>408</v>
      </c>
      <c r="L74" s="33">
        <v>408</v>
      </c>
      <c r="M74" s="33">
        <v>0</v>
      </c>
      <c r="N74" s="33">
        <v>0</v>
      </c>
      <c r="O74" s="33">
        <v>0</v>
      </c>
      <c r="P74" s="33">
        <v>0</v>
      </c>
      <c r="Q74" s="56">
        <v>1</v>
      </c>
      <c r="R74" s="56" t="s">
        <v>41</v>
      </c>
      <c r="S74" s="56" t="s">
        <v>41</v>
      </c>
      <c r="T74" s="56">
        <v>1</v>
      </c>
      <c r="U74" s="116">
        <v>0</v>
      </c>
      <c r="V74" s="116">
        <v>0</v>
      </c>
      <c r="W74" s="116">
        <v>0</v>
      </c>
      <c r="X74" s="116">
        <v>0</v>
      </c>
      <c r="Y74" s="116">
        <v>0</v>
      </c>
      <c r="Z74" s="116">
        <v>0</v>
      </c>
      <c r="AA74" s="116">
        <v>0</v>
      </c>
      <c r="AB74" s="116">
        <v>0</v>
      </c>
      <c r="AC74" s="10" t="s">
        <v>89</v>
      </c>
    </row>
    <row r="75" spans="2:29" x14ac:dyDescent="0.15">
      <c r="B75" s="105" t="s">
        <v>378</v>
      </c>
      <c r="C75" s="105" t="s">
        <v>872</v>
      </c>
      <c r="D75" s="32" t="s">
        <v>379</v>
      </c>
      <c r="E75" s="33">
        <v>9611</v>
      </c>
      <c r="F75" s="33">
        <v>654</v>
      </c>
      <c r="G75" s="33">
        <v>3988</v>
      </c>
      <c r="H75" s="33">
        <v>14253</v>
      </c>
      <c r="I75" s="33">
        <v>5348</v>
      </c>
      <c r="J75" s="33">
        <v>629</v>
      </c>
      <c r="K75" s="33">
        <v>3908</v>
      </c>
      <c r="L75" s="33">
        <v>9885</v>
      </c>
      <c r="M75" s="33">
        <v>4263</v>
      </c>
      <c r="N75" s="33">
        <v>25</v>
      </c>
      <c r="O75" s="33">
        <v>80</v>
      </c>
      <c r="P75" s="33">
        <v>4368</v>
      </c>
      <c r="Q75" s="56">
        <v>0.69353820248368769</v>
      </c>
      <c r="R75" s="56">
        <v>0.55644573925710128</v>
      </c>
      <c r="S75" s="56">
        <v>0.96177370030581044</v>
      </c>
      <c r="T75" s="56">
        <v>0.97993981945837516</v>
      </c>
      <c r="U75" s="116">
        <v>2433</v>
      </c>
      <c r="V75" s="116">
        <v>0</v>
      </c>
      <c r="W75" s="116">
        <v>0</v>
      </c>
      <c r="X75" s="116">
        <v>2433</v>
      </c>
      <c r="Y75" s="116">
        <v>311</v>
      </c>
      <c r="Z75" s="116">
        <v>2744</v>
      </c>
      <c r="AA75" s="116">
        <v>1301</v>
      </c>
      <c r="AB75" s="116">
        <v>821</v>
      </c>
      <c r="AC75" s="10" t="s">
        <v>101</v>
      </c>
    </row>
    <row r="76" spans="2:29" x14ac:dyDescent="0.15">
      <c r="B76" s="105" t="s">
        <v>384</v>
      </c>
      <c r="C76" s="105" t="s">
        <v>872</v>
      </c>
      <c r="D76" s="32" t="s">
        <v>385</v>
      </c>
      <c r="E76" s="33">
        <v>13656</v>
      </c>
      <c r="F76" s="33">
        <v>2016</v>
      </c>
      <c r="G76" s="33">
        <v>12127</v>
      </c>
      <c r="H76" s="33">
        <v>27799</v>
      </c>
      <c r="I76" s="33">
        <v>6086</v>
      </c>
      <c r="J76" s="33">
        <v>1933</v>
      </c>
      <c r="K76" s="33">
        <v>10392</v>
      </c>
      <c r="L76" s="33">
        <v>18411</v>
      </c>
      <c r="M76" s="33">
        <v>7570</v>
      </c>
      <c r="N76" s="33">
        <v>83</v>
      </c>
      <c r="O76" s="33">
        <v>1735</v>
      </c>
      <c r="P76" s="33">
        <v>9388</v>
      </c>
      <c r="Q76" s="56">
        <v>0.66229001043202995</v>
      </c>
      <c r="R76" s="56">
        <v>0.44566490919742235</v>
      </c>
      <c r="S76" s="56">
        <v>0.95882936507936511</v>
      </c>
      <c r="T76" s="56">
        <v>0.85693081553558181</v>
      </c>
      <c r="U76" s="116">
        <v>3760</v>
      </c>
      <c r="V76" s="116">
        <v>0</v>
      </c>
      <c r="W76" s="116">
        <v>1292</v>
      </c>
      <c r="X76" s="116">
        <v>5052</v>
      </c>
      <c r="Y76" s="116">
        <v>4052</v>
      </c>
      <c r="Z76" s="116">
        <v>9104</v>
      </c>
      <c r="AA76" s="116">
        <v>1162</v>
      </c>
      <c r="AB76" s="116">
        <v>979</v>
      </c>
      <c r="AC76" s="10" t="s">
        <v>103</v>
      </c>
    </row>
    <row r="77" spans="2:29" x14ac:dyDescent="0.15">
      <c r="B77" s="105" t="s">
        <v>349</v>
      </c>
      <c r="C77" s="105" t="s">
        <v>872</v>
      </c>
      <c r="D77" s="32" t="s">
        <v>819</v>
      </c>
      <c r="E77" s="33">
        <v>0</v>
      </c>
      <c r="F77" s="33">
        <v>0</v>
      </c>
      <c r="G77" s="33">
        <v>3835</v>
      </c>
      <c r="H77" s="33">
        <v>3835</v>
      </c>
      <c r="I77" s="33">
        <v>0</v>
      </c>
      <c r="J77" s="33">
        <v>0</v>
      </c>
      <c r="K77" s="33">
        <v>3834</v>
      </c>
      <c r="L77" s="33">
        <v>3834</v>
      </c>
      <c r="M77" s="33">
        <v>0</v>
      </c>
      <c r="N77" s="33">
        <v>0</v>
      </c>
      <c r="O77" s="33">
        <v>1</v>
      </c>
      <c r="P77" s="33">
        <v>1</v>
      </c>
      <c r="Q77" s="56">
        <v>0.99973924380704038</v>
      </c>
      <c r="R77" s="56" t="s">
        <v>41</v>
      </c>
      <c r="S77" s="56" t="s">
        <v>41</v>
      </c>
      <c r="T77" s="56">
        <v>0.99973924380704038</v>
      </c>
      <c r="U77" s="116">
        <v>0</v>
      </c>
      <c r="V77" s="116">
        <v>0</v>
      </c>
      <c r="W77" s="116">
        <v>0</v>
      </c>
      <c r="X77" s="116">
        <v>0</v>
      </c>
      <c r="Y77" s="116">
        <v>0</v>
      </c>
      <c r="Z77" s="116">
        <v>0</v>
      </c>
      <c r="AA77" s="116">
        <v>0</v>
      </c>
      <c r="AB77" s="116">
        <v>0</v>
      </c>
      <c r="AC77" s="10" t="s">
        <v>89</v>
      </c>
    </row>
    <row r="78" spans="2:29" x14ac:dyDescent="0.15">
      <c r="B78" s="105" t="s">
        <v>353</v>
      </c>
      <c r="C78" s="105" t="s">
        <v>872</v>
      </c>
      <c r="D78" s="32" t="s">
        <v>856</v>
      </c>
      <c r="E78" s="33">
        <v>0</v>
      </c>
      <c r="F78" s="33">
        <v>0</v>
      </c>
      <c r="G78" s="33">
        <v>623</v>
      </c>
      <c r="H78" s="33">
        <v>623</v>
      </c>
      <c r="I78" s="33">
        <v>0</v>
      </c>
      <c r="J78" s="33">
        <v>0</v>
      </c>
      <c r="K78" s="33">
        <v>623</v>
      </c>
      <c r="L78" s="33">
        <v>623</v>
      </c>
      <c r="M78" s="33">
        <v>0</v>
      </c>
      <c r="N78" s="33">
        <v>0</v>
      </c>
      <c r="O78" s="33">
        <v>0</v>
      </c>
      <c r="P78" s="33">
        <v>0</v>
      </c>
      <c r="Q78" s="56">
        <v>1</v>
      </c>
      <c r="R78" s="56" t="s">
        <v>41</v>
      </c>
      <c r="S78" s="56" t="s">
        <v>41</v>
      </c>
      <c r="T78" s="56">
        <v>1</v>
      </c>
      <c r="U78" s="116">
        <v>0</v>
      </c>
      <c r="V78" s="116">
        <v>0</v>
      </c>
      <c r="W78" s="116">
        <v>0</v>
      </c>
      <c r="X78" s="116">
        <v>0</v>
      </c>
      <c r="Y78" s="116">
        <v>0</v>
      </c>
      <c r="Z78" s="116">
        <v>0</v>
      </c>
      <c r="AA78" s="116">
        <v>0</v>
      </c>
      <c r="AB78" s="116">
        <v>0</v>
      </c>
      <c r="AC78" s="10" t="s">
        <v>89</v>
      </c>
    </row>
    <row r="79" spans="2:29" x14ac:dyDescent="0.15">
      <c r="B79" s="105" t="s">
        <v>404</v>
      </c>
      <c r="C79" s="105" t="s">
        <v>872</v>
      </c>
      <c r="D79" s="32" t="s">
        <v>725</v>
      </c>
      <c r="E79" s="33">
        <v>12136</v>
      </c>
      <c r="F79" s="33">
        <v>1281</v>
      </c>
      <c r="G79" s="33">
        <v>8369</v>
      </c>
      <c r="H79" s="33">
        <v>21786</v>
      </c>
      <c r="I79" s="33">
        <v>6916</v>
      </c>
      <c r="J79" s="33">
        <v>1024</v>
      </c>
      <c r="K79" s="33">
        <v>8284</v>
      </c>
      <c r="L79" s="33">
        <v>16224</v>
      </c>
      <c r="M79" s="33">
        <v>5220</v>
      </c>
      <c r="N79" s="33">
        <v>257</v>
      </c>
      <c r="O79" s="33">
        <v>85</v>
      </c>
      <c r="P79" s="33">
        <v>5562</v>
      </c>
      <c r="Q79" s="56">
        <v>0.7446984301845222</v>
      </c>
      <c r="R79" s="56">
        <v>0.56987475280158206</v>
      </c>
      <c r="S79" s="56">
        <v>0.79937548790007806</v>
      </c>
      <c r="T79" s="56">
        <v>0.98984346994861994</v>
      </c>
      <c r="U79" s="116">
        <v>2597</v>
      </c>
      <c r="V79" s="116">
        <v>0</v>
      </c>
      <c r="W79" s="116">
        <v>12</v>
      </c>
      <c r="X79" s="116">
        <v>2609</v>
      </c>
      <c r="Y79" s="116">
        <v>67</v>
      </c>
      <c r="Z79" s="116">
        <v>2676</v>
      </c>
      <c r="AA79" s="116">
        <v>1057</v>
      </c>
      <c r="AB79" s="116">
        <v>221</v>
      </c>
      <c r="AC79" s="10" t="s">
        <v>123</v>
      </c>
    </row>
    <row r="80" spans="2:29" x14ac:dyDescent="0.15">
      <c r="B80" s="105" t="s">
        <v>386</v>
      </c>
      <c r="C80" s="105" t="s">
        <v>872</v>
      </c>
      <c r="D80" s="32" t="s">
        <v>387</v>
      </c>
      <c r="E80" s="33">
        <v>11265</v>
      </c>
      <c r="F80" s="33">
        <v>0</v>
      </c>
      <c r="G80" s="33">
        <v>5917</v>
      </c>
      <c r="H80" s="33">
        <v>17182</v>
      </c>
      <c r="I80" s="33">
        <v>7732</v>
      </c>
      <c r="J80" s="33">
        <v>0</v>
      </c>
      <c r="K80" s="33">
        <v>5047</v>
      </c>
      <c r="L80" s="33">
        <v>12779</v>
      </c>
      <c r="M80" s="33">
        <v>3533</v>
      </c>
      <c r="N80" s="33">
        <v>0</v>
      </c>
      <c r="O80" s="33">
        <v>870</v>
      </c>
      <c r="P80" s="33">
        <v>4403</v>
      </c>
      <c r="Q80" s="56">
        <v>0.74374345245023865</v>
      </c>
      <c r="R80" s="56">
        <v>0.68637372392365736</v>
      </c>
      <c r="S80" s="56" t="s">
        <v>41</v>
      </c>
      <c r="T80" s="56">
        <v>0.85296603008281224</v>
      </c>
      <c r="U80" s="116">
        <v>3859</v>
      </c>
      <c r="V80" s="116">
        <v>0</v>
      </c>
      <c r="W80" s="116">
        <v>0</v>
      </c>
      <c r="X80" s="116">
        <v>3859</v>
      </c>
      <c r="Y80" s="116">
        <v>289</v>
      </c>
      <c r="Z80" s="116">
        <v>4148</v>
      </c>
      <c r="AA80" s="116">
        <v>724</v>
      </c>
      <c r="AB80" s="116">
        <v>179</v>
      </c>
      <c r="AC80" s="10" t="s">
        <v>103</v>
      </c>
    </row>
    <row r="81" spans="2:29" x14ac:dyDescent="0.15">
      <c r="B81" s="105" t="s">
        <v>390</v>
      </c>
      <c r="C81" s="105" t="s">
        <v>872</v>
      </c>
      <c r="D81" s="32" t="s">
        <v>391</v>
      </c>
      <c r="E81" s="33">
        <v>0</v>
      </c>
      <c r="F81" s="33">
        <v>0</v>
      </c>
      <c r="G81" s="33">
        <v>3616</v>
      </c>
      <c r="H81" s="33">
        <v>3616</v>
      </c>
      <c r="I81" s="33">
        <v>0</v>
      </c>
      <c r="J81" s="33">
        <v>0</v>
      </c>
      <c r="K81" s="33">
        <v>3601</v>
      </c>
      <c r="L81" s="33">
        <v>3601</v>
      </c>
      <c r="M81" s="33">
        <v>0</v>
      </c>
      <c r="N81" s="33">
        <v>0</v>
      </c>
      <c r="O81" s="33">
        <v>15</v>
      </c>
      <c r="P81" s="33">
        <v>15</v>
      </c>
      <c r="Q81" s="56">
        <v>0.99585176991150437</v>
      </c>
      <c r="R81" s="56" t="s">
        <v>41</v>
      </c>
      <c r="S81" s="56" t="s">
        <v>41</v>
      </c>
      <c r="T81" s="56">
        <v>0.99585176991150437</v>
      </c>
      <c r="U81" s="116">
        <v>0</v>
      </c>
      <c r="V81" s="116">
        <v>0</v>
      </c>
      <c r="W81" s="116">
        <v>0</v>
      </c>
      <c r="X81" s="116">
        <v>0</v>
      </c>
      <c r="Y81" s="116">
        <v>0</v>
      </c>
      <c r="Z81" s="116">
        <v>0</v>
      </c>
      <c r="AA81" s="116">
        <v>0</v>
      </c>
      <c r="AB81" s="116">
        <v>0</v>
      </c>
      <c r="AC81" s="10" t="s">
        <v>107</v>
      </c>
    </row>
    <row r="82" spans="2:29" x14ac:dyDescent="0.15">
      <c r="B82" s="105" t="s">
        <v>360</v>
      </c>
      <c r="C82" s="105" t="s">
        <v>872</v>
      </c>
      <c r="D82" s="32" t="s">
        <v>361</v>
      </c>
      <c r="E82" s="33">
        <v>0</v>
      </c>
      <c r="F82" s="33">
        <v>0</v>
      </c>
      <c r="G82" s="33">
        <v>462</v>
      </c>
      <c r="H82" s="33">
        <v>462</v>
      </c>
      <c r="I82" s="33">
        <v>0</v>
      </c>
      <c r="J82" s="33">
        <v>0</v>
      </c>
      <c r="K82" s="33">
        <v>462</v>
      </c>
      <c r="L82" s="33">
        <v>462</v>
      </c>
      <c r="M82" s="33">
        <v>0</v>
      </c>
      <c r="N82" s="33">
        <v>0</v>
      </c>
      <c r="O82" s="33">
        <v>0</v>
      </c>
      <c r="P82" s="33">
        <v>0</v>
      </c>
      <c r="Q82" s="56">
        <v>1</v>
      </c>
      <c r="R82" s="56" t="s">
        <v>41</v>
      </c>
      <c r="S82" s="56" t="s">
        <v>41</v>
      </c>
      <c r="T82" s="56">
        <v>1</v>
      </c>
      <c r="U82" s="116">
        <v>0</v>
      </c>
      <c r="V82" s="116">
        <v>0</v>
      </c>
      <c r="W82" s="116">
        <v>0</v>
      </c>
      <c r="X82" s="116">
        <v>0</v>
      </c>
      <c r="Y82" s="116">
        <v>1</v>
      </c>
      <c r="Z82" s="116">
        <v>1</v>
      </c>
      <c r="AA82" s="116">
        <v>0</v>
      </c>
      <c r="AB82" s="116">
        <v>0</v>
      </c>
      <c r="AC82" s="10" t="s">
        <v>91</v>
      </c>
    </row>
    <row r="83" spans="2:29" x14ac:dyDescent="0.15">
      <c r="B83" s="105" t="s">
        <v>313</v>
      </c>
      <c r="C83" s="105" t="s">
        <v>872</v>
      </c>
      <c r="D83" s="32" t="s">
        <v>314</v>
      </c>
      <c r="E83" s="33">
        <v>8510</v>
      </c>
      <c r="F83" s="33">
        <v>0</v>
      </c>
      <c r="G83" s="33">
        <v>543</v>
      </c>
      <c r="H83" s="33">
        <v>9053</v>
      </c>
      <c r="I83" s="33">
        <v>5738</v>
      </c>
      <c r="J83" s="33">
        <v>0</v>
      </c>
      <c r="K83" s="33">
        <v>543</v>
      </c>
      <c r="L83" s="33">
        <v>6281</v>
      </c>
      <c r="M83" s="33">
        <v>2772</v>
      </c>
      <c r="N83" s="33">
        <v>0</v>
      </c>
      <c r="O83" s="33">
        <v>0</v>
      </c>
      <c r="P83" s="33">
        <v>2772</v>
      </c>
      <c r="Q83" s="56">
        <v>0.69380315917375457</v>
      </c>
      <c r="R83" s="56">
        <v>0.67426556991774378</v>
      </c>
      <c r="S83" s="56" t="s">
        <v>41</v>
      </c>
      <c r="T83" s="56">
        <v>1</v>
      </c>
      <c r="U83" s="116">
        <v>1638</v>
      </c>
      <c r="V83" s="116">
        <v>0</v>
      </c>
      <c r="W83" s="116">
        <v>0</v>
      </c>
      <c r="X83" s="116">
        <v>1638</v>
      </c>
      <c r="Y83" s="116">
        <v>572</v>
      </c>
      <c r="Z83" s="116">
        <v>2210</v>
      </c>
      <c r="AA83" s="116">
        <v>644</v>
      </c>
      <c r="AB83" s="116">
        <v>190</v>
      </c>
      <c r="AC83" s="10" t="s">
        <v>59</v>
      </c>
    </row>
    <row r="84" spans="2:29" x14ac:dyDescent="0.15">
      <c r="B84" s="105" t="s">
        <v>405</v>
      </c>
      <c r="C84" s="105" t="s">
        <v>872</v>
      </c>
      <c r="D84" s="32" t="s">
        <v>406</v>
      </c>
      <c r="E84" s="33">
        <v>10834</v>
      </c>
      <c r="F84" s="33">
        <v>0</v>
      </c>
      <c r="G84" s="33">
        <v>4331</v>
      </c>
      <c r="H84" s="33">
        <v>15165</v>
      </c>
      <c r="I84" s="33">
        <v>7938</v>
      </c>
      <c r="J84" s="33">
        <v>0</v>
      </c>
      <c r="K84" s="33">
        <v>4239</v>
      </c>
      <c r="L84" s="33">
        <v>12177</v>
      </c>
      <c r="M84" s="33">
        <v>2896</v>
      </c>
      <c r="N84" s="33">
        <v>0</v>
      </c>
      <c r="O84" s="33">
        <v>92</v>
      </c>
      <c r="P84" s="33">
        <v>2988</v>
      </c>
      <c r="Q84" s="56">
        <v>0.80296735905044514</v>
      </c>
      <c r="R84" s="56">
        <v>0.73269337271552515</v>
      </c>
      <c r="S84" s="56" t="s">
        <v>41</v>
      </c>
      <c r="T84" s="56">
        <v>0.97875779265758489</v>
      </c>
      <c r="U84" s="116">
        <v>3484</v>
      </c>
      <c r="V84" s="116">
        <v>0</v>
      </c>
      <c r="W84" s="116">
        <v>0</v>
      </c>
      <c r="X84" s="116">
        <v>3484</v>
      </c>
      <c r="Y84" s="116">
        <v>2574</v>
      </c>
      <c r="Z84" s="116">
        <v>6058</v>
      </c>
      <c r="AA84" s="116">
        <v>1031</v>
      </c>
      <c r="AB84" s="116">
        <v>155</v>
      </c>
      <c r="AC84" s="10" t="s">
        <v>123</v>
      </c>
    </row>
    <row r="85" spans="2:29" x14ac:dyDescent="0.15">
      <c r="B85" s="105" t="s">
        <v>392</v>
      </c>
      <c r="C85" s="105" t="s">
        <v>872</v>
      </c>
      <c r="D85" s="32" t="s">
        <v>821</v>
      </c>
      <c r="E85" s="33">
        <v>0</v>
      </c>
      <c r="F85" s="33">
        <v>0</v>
      </c>
      <c r="G85" s="33">
        <v>0</v>
      </c>
      <c r="H85" s="33">
        <v>0</v>
      </c>
      <c r="I85" s="33">
        <v>0</v>
      </c>
      <c r="J85" s="33">
        <v>0</v>
      </c>
      <c r="K85" s="33">
        <v>0</v>
      </c>
      <c r="L85" s="33">
        <v>0</v>
      </c>
      <c r="M85" s="33">
        <v>0</v>
      </c>
      <c r="N85" s="33">
        <v>0</v>
      </c>
      <c r="O85" s="33">
        <v>0</v>
      </c>
      <c r="P85" s="33">
        <v>0</v>
      </c>
      <c r="Q85" s="56" t="s">
        <v>41</v>
      </c>
      <c r="R85" s="56" t="s">
        <v>41</v>
      </c>
      <c r="S85" s="56" t="s">
        <v>41</v>
      </c>
      <c r="T85" s="56" t="s">
        <v>41</v>
      </c>
      <c r="U85" s="116">
        <v>0</v>
      </c>
      <c r="V85" s="116">
        <v>0</v>
      </c>
      <c r="W85" s="116">
        <v>0</v>
      </c>
      <c r="X85" s="116">
        <v>0</v>
      </c>
      <c r="Y85" s="116">
        <v>40</v>
      </c>
      <c r="Z85" s="116">
        <v>40</v>
      </c>
      <c r="AA85" s="116">
        <v>0</v>
      </c>
      <c r="AB85" s="116">
        <v>0</v>
      </c>
      <c r="AC85" s="10" t="s">
        <v>107</v>
      </c>
    </row>
    <row r="86" spans="2:29" x14ac:dyDescent="0.15">
      <c r="B86" s="105" t="s">
        <v>407</v>
      </c>
      <c r="C86" s="105" t="s">
        <v>872</v>
      </c>
      <c r="D86" s="32" t="s">
        <v>408</v>
      </c>
      <c r="E86" s="33">
        <v>11706</v>
      </c>
      <c r="F86" s="33">
        <v>1633</v>
      </c>
      <c r="G86" s="33">
        <v>7582</v>
      </c>
      <c r="H86" s="33">
        <v>20921</v>
      </c>
      <c r="I86" s="33">
        <v>7762</v>
      </c>
      <c r="J86" s="33">
        <v>1588</v>
      </c>
      <c r="K86" s="33">
        <v>7384</v>
      </c>
      <c r="L86" s="33">
        <v>16734</v>
      </c>
      <c r="M86" s="33">
        <v>3944</v>
      </c>
      <c r="N86" s="33">
        <v>45</v>
      </c>
      <c r="O86" s="33">
        <v>198</v>
      </c>
      <c r="P86" s="33">
        <v>4187</v>
      </c>
      <c r="Q86" s="56">
        <v>0.79986616318531623</v>
      </c>
      <c r="R86" s="56">
        <v>0.66307876302750723</v>
      </c>
      <c r="S86" s="56">
        <v>0.97244335578689534</v>
      </c>
      <c r="T86" s="56">
        <v>0.97388551833289372</v>
      </c>
      <c r="U86" s="116">
        <v>6544</v>
      </c>
      <c r="V86" s="116">
        <v>0</v>
      </c>
      <c r="W86" s="116">
        <v>58</v>
      </c>
      <c r="X86" s="116">
        <v>6602</v>
      </c>
      <c r="Y86" s="116">
        <v>810</v>
      </c>
      <c r="Z86" s="116">
        <v>7412</v>
      </c>
      <c r="AA86" s="116">
        <v>1342</v>
      </c>
      <c r="AB86" s="116">
        <v>506</v>
      </c>
      <c r="AC86" s="10" t="s">
        <v>123</v>
      </c>
    </row>
    <row r="87" spans="2:29" x14ac:dyDescent="0.15">
      <c r="B87" s="105" t="s">
        <v>388</v>
      </c>
      <c r="C87" s="105" t="s">
        <v>872</v>
      </c>
      <c r="D87" s="32" t="s">
        <v>389</v>
      </c>
      <c r="E87" s="33">
        <v>11747</v>
      </c>
      <c r="F87" s="33">
        <v>0</v>
      </c>
      <c r="G87" s="33">
        <v>2588</v>
      </c>
      <c r="H87" s="33">
        <v>14335</v>
      </c>
      <c r="I87" s="33">
        <v>5069</v>
      </c>
      <c r="J87" s="33">
        <v>0</v>
      </c>
      <c r="K87" s="33">
        <v>2242</v>
      </c>
      <c r="L87" s="33">
        <v>7311</v>
      </c>
      <c r="M87" s="33">
        <v>6678</v>
      </c>
      <c r="N87" s="33">
        <v>0</v>
      </c>
      <c r="O87" s="33">
        <v>346</v>
      </c>
      <c r="P87" s="33">
        <v>7024</v>
      </c>
      <c r="Q87" s="56">
        <v>0.51001046389954652</v>
      </c>
      <c r="R87" s="56">
        <v>0.43151442921597005</v>
      </c>
      <c r="S87" s="56" t="s">
        <v>41</v>
      </c>
      <c r="T87" s="56">
        <v>0.86630602782071098</v>
      </c>
      <c r="U87" s="116">
        <v>3708</v>
      </c>
      <c r="V87" s="116">
        <v>0</v>
      </c>
      <c r="W87" s="116">
        <v>209</v>
      </c>
      <c r="X87" s="116">
        <v>3917</v>
      </c>
      <c r="Y87" s="116">
        <v>2094</v>
      </c>
      <c r="Z87" s="116">
        <v>6011</v>
      </c>
      <c r="AA87" s="116">
        <v>1912</v>
      </c>
      <c r="AB87" s="116">
        <v>1373</v>
      </c>
      <c r="AC87" s="10" t="s">
        <v>107</v>
      </c>
    </row>
    <row r="88" spans="2:29" x14ac:dyDescent="0.15">
      <c r="B88" s="105" t="s">
        <v>362</v>
      </c>
      <c r="C88" s="105" t="s">
        <v>872</v>
      </c>
      <c r="D88" s="32" t="s">
        <v>363</v>
      </c>
      <c r="E88" s="33">
        <v>17584</v>
      </c>
      <c r="F88" s="33">
        <v>0</v>
      </c>
      <c r="G88" s="33">
        <v>4440</v>
      </c>
      <c r="H88" s="33">
        <v>22024</v>
      </c>
      <c r="I88" s="33">
        <v>11191</v>
      </c>
      <c r="J88" s="33">
        <v>0</v>
      </c>
      <c r="K88" s="33">
        <v>3955</v>
      </c>
      <c r="L88" s="33">
        <v>15146</v>
      </c>
      <c r="M88" s="33">
        <v>6393</v>
      </c>
      <c r="N88" s="33">
        <v>0</v>
      </c>
      <c r="O88" s="33">
        <v>485</v>
      </c>
      <c r="P88" s="33">
        <v>6878</v>
      </c>
      <c r="Q88" s="56">
        <v>0.68770432255721037</v>
      </c>
      <c r="R88" s="56">
        <v>0.63643084622383983</v>
      </c>
      <c r="S88" s="56" t="s">
        <v>41</v>
      </c>
      <c r="T88" s="56">
        <v>0.89076576576576572</v>
      </c>
      <c r="U88" s="116">
        <v>4773</v>
      </c>
      <c r="V88" s="116">
        <v>0</v>
      </c>
      <c r="W88" s="116">
        <v>0</v>
      </c>
      <c r="X88" s="116">
        <v>4773</v>
      </c>
      <c r="Y88" s="116">
        <v>1211</v>
      </c>
      <c r="Z88" s="116">
        <v>5984</v>
      </c>
      <c r="AA88" s="116">
        <v>1975</v>
      </c>
      <c r="AB88" s="116">
        <v>1347</v>
      </c>
      <c r="AC88" s="10" t="s">
        <v>91</v>
      </c>
    </row>
    <row r="89" spans="2:29" x14ac:dyDescent="0.15">
      <c r="B89" s="105" t="s">
        <v>300</v>
      </c>
      <c r="C89" s="105" t="s">
        <v>872</v>
      </c>
      <c r="D89" s="32" t="s">
        <v>301</v>
      </c>
      <c r="E89" s="33">
        <v>34437</v>
      </c>
      <c r="F89" s="33">
        <v>407</v>
      </c>
      <c r="G89" s="33">
        <v>12659</v>
      </c>
      <c r="H89" s="33">
        <v>47503</v>
      </c>
      <c r="I89" s="33">
        <v>19748</v>
      </c>
      <c r="J89" s="33">
        <v>407</v>
      </c>
      <c r="K89" s="33">
        <v>12600</v>
      </c>
      <c r="L89" s="33">
        <v>32755</v>
      </c>
      <c r="M89" s="33">
        <v>14689</v>
      </c>
      <c r="N89" s="33">
        <v>0</v>
      </c>
      <c r="O89" s="33">
        <v>59</v>
      </c>
      <c r="P89" s="33">
        <v>14748</v>
      </c>
      <c r="Q89" s="56">
        <v>0.68953539776435169</v>
      </c>
      <c r="R89" s="56">
        <v>0.57345297209396873</v>
      </c>
      <c r="S89" s="56">
        <v>1</v>
      </c>
      <c r="T89" s="56">
        <v>0.99533928430365748</v>
      </c>
      <c r="U89" s="116">
        <v>10284</v>
      </c>
      <c r="V89" s="116">
        <v>0</v>
      </c>
      <c r="W89" s="116">
        <v>0</v>
      </c>
      <c r="X89" s="116">
        <v>10284</v>
      </c>
      <c r="Y89" s="116">
        <v>8515</v>
      </c>
      <c r="Z89" s="116">
        <v>18799</v>
      </c>
      <c r="AA89" s="116">
        <v>3771</v>
      </c>
      <c r="AB89" s="116">
        <v>2085</v>
      </c>
      <c r="AC89" s="10" t="s">
        <v>47</v>
      </c>
    </row>
    <row r="90" spans="2:29" x14ac:dyDescent="0.15">
      <c r="B90" s="105" t="s">
        <v>315</v>
      </c>
      <c r="C90" s="105" t="s">
        <v>872</v>
      </c>
      <c r="D90" s="32" t="s">
        <v>726</v>
      </c>
      <c r="E90" s="33">
        <v>13154</v>
      </c>
      <c r="F90" s="33">
        <v>2778</v>
      </c>
      <c r="G90" s="33">
        <v>5874</v>
      </c>
      <c r="H90" s="33">
        <v>21806</v>
      </c>
      <c r="I90" s="33">
        <v>7987</v>
      </c>
      <c r="J90" s="33">
        <v>2691</v>
      </c>
      <c r="K90" s="33">
        <v>5751</v>
      </c>
      <c r="L90" s="33">
        <v>16429</v>
      </c>
      <c r="M90" s="33">
        <v>5167</v>
      </c>
      <c r="N90" s="33">
        <v>87</v>
      </c>
      <c r="O90" s="33">
        <v>123</v>
      </c>
      <c r="P90" s="33">
        <v>5377</v>
      </c>
      <c r="Q90" s="56">
        <v>0.75341649087407137</v>
      </c>
      <c r="R90" s="56">
        <v>0.60719172875171046</v>
      </c>
      <c r="S90" s="56">
        <v>0.96868250539956802</v>
      </c>
      <c r="T90" s="56">
        <v>0.97906026557711956</v>
      </c>
      <c r="U90" s="116">
        <v>1375</v>
      </c>
      <c r="V90" s="116">
        <v>44</v>
      </c>
      <c r="W90" s="116">
        <v>54</v>
      </c>
      <c r="X90" s="116">
        <v>1473</v>
      </c>
      <c r="Y90" s="116">
        <v>377</v>
      </c>
      <c r="Z90" s="116">
        <v>1850</v>
      </c>
      <c r="AA90" s="116">
        <v>72</v>
      </c>
      <c r="AB90" s="116">
        <v>18</v>
      </c>
      <c r="AC90" s="10" t="s">
        <v>59</v>
      </c>
    </row>
    <row r="91" spans="2:29" x14ac:dyDescent="0.15">
      <c r="B91" s="105" t="s">
        <v>332</v>
      </c>
      <c r="C91" s="105" t="s">
        <v>872</v>
      </c>
      <c r="D91" s="32" t="s">
        <v>333</v>
      </c>
      <c r="E91" s="33">
        <v>22823</v>
      </c>
      <c r="F91" s="33">
        <v>0</v>
      </c>
      <c r="G91" s="33">
        <v>9614</v>
      </c>
      <c r="H91" s="33">
        <v>32437</v>
      </c>
      <c r="I91" s="33">
        <v>12301</v>
      </c>
      <c r="J91" s="33">
        <v>0</v>
      </c>
      <c r="K91" s="33">
        <v>9603</v>
      </c>
      <c r="L91" s="33">
        <v>21904</v>
      </c>
      <c r="M91" s="33">
        <v>10522</v>
      </c>
      <c r="N91" s="33">
        <v>0</v>
      </c>
      <c r="O91" s="33">
        <v>11</v>
      </c>
      <c r="P91" s="33">
        <v>10533</v>
      </c>
      <c r="Q91" s="56">
        <v>0.67527823164904277</v>
      </c>
      <c r="R91" s="56">
        <v>0.53897384217675148</v>
      </c>
      <c r="S91" s="56" t="s">
        <v>41</v>
      </c>
      <c r="T91" s="56">
        <v>0.99885583524027455</v>
      </c>
      <c r="U91" s="116">
        <v>3946</v>
      </c>
      <c r="V91" s="116">
        <v>0</v>
      </c>
      <c r="W91" s="116">
        <v>0</v>
      </c>
      <c r="X91" s="116">
        <v>3946</v>
      </c>
      <c r="Y91" s="116">
        <v>2773</v>
      </c>
      <c r="Z91" s="116">
        <v>6719</v>
      </c>
      <c r="AA91" s="116">
        <v>1802</v>
      </c>
      <c r="AB91" s="116">
        <v>794</v>
      </c>
      <c r="AC91" s="10" t="s">
        <v>85</v>
      </c>
    </row>
    <row r="92" spans="2:29" x14ac:dyDescent="0.15">
      <c r="B92" s="105" t="s">
        <v>357</v>
      </c>
      <c r="C92" s="105" t="s">
        <v>872</v>
      </c>
      <c r="D92" s="32" t="s">
        <v>727</v>
      </c>
      <c r="E92" s="33">
        <v>24152</v>
      </c>
      <c r="F92" s="33">
        <v>2198</v>
      </c>
      <c r="G92" s="33">
        <v>0</v>
      </c>
      <c r="H92" s="33">
        <v>26350</v>
      </c>
      <c r="I92" s="33">
        <v>14347</v>
      </c>
      <c r="J92" s="33">
        <v>2012</v>
      </c>
      <c r="K92" s="33">
        <v>0</v>
      </c>
      <c r="L92" s="33">
        <v>16359</v>
      </c>
      <c r="M92" s="33">
        <v>9805</v>
      </c>
      <c r="N92" s="33">
        <v>186</v>
      </c>
      <c r="O92" s="33">
        <v>0</v>
      </c>
      <c r="P92" s="33">
        <v>9991</v>
      </c>
      <c r="Q92" s="56">
        <v>0.62083491461100571</v>
      </c>
      <c r="R92" s="56">
        <v>0.59402947996025179</v>
      </c>
      <c r="S92" s="56">
        <v>0.91537761601455869</v>
      </c>
      <c r="T92" s="56" t="s">
        <v>41</v>
      </c>
      <c r="U92" s="116">
        <v>6766</v>
      </c>
      <c r="V92" s="116">
        <v>5</v>
      </c>
      <c r="W92" s="116">
        <v>0</v>
      </c>
      <c r="X92" s="116">
        <v>6771</v>
      </c>
      <c r="Y92" s="116">
        <v>3841</v>
      </c>
      <c r="Z92" s="116">
        <v>10612</v>
      </c>
      <c r="AA92" s="116">
        <v>1639</v>
      </c>
      <c r="AB92" s="116">
        <v>499</v>
      </c>
      <c r="AC92" s="10" t="s">
        <v>89</v>
      </c>
    </row>
    <row r="93" spans="2:29" x14ac:dyDescent="0.15">
      <c r="B93" s="105" t="s">
        <v>393</v>
      </c>
      <c r="C93" s="105" t="s">
        <v>872</v>
      </c>
      <c r="D93" s="32" t="s">
        <v>728</v>
      </c>
      <c r="E93" s="33">
        <v>15769</v>
      </c>
      <c r="F93" s="33">
        <v>540</v>
      </c>
      <c r="G93" s="33">
        <v>9723</v>
      </c>
      <c r="H93" s="33">
        <v>26032</v>
      </c>
      <c r="I93" s="33">
        <v>7131</v>
      </c>
      <c r="J93" s="33">
        <v>540</v>
      </c>
      <c r="K93" s="33">
        <v>9520</v>
      </c>
      <c r="L93" s="33">
        <v>17191</v>
      </c>
      <c r="M93" s="33">
        <v>8638</v>
      </c>
      <c r="N93" s="33">
        <v>0</v>
      </c>
      <c r="O93" s="33">
        <v>203</v>
      </c>
      <c r="P93" s="33">
        <v>8841</v>
      </c>
      <c r="Q93" s="56">
        <v>0.66037953288260598</v>
      </c>
      <c r="R93" s="56">
        <v>0.45221637389815461</v>
      </c>
      <c r="S93" s="56">
        <v>1</v>
      </c>
      <c r="T93" s="56">
        <v>0.97912167026637864</v>
      </c>
      <c r="U93" s="116">
        <v>4724</v>
      </c>
      <c r="V93" s="116">
        <v>0</v>
      </c>
      <c r="W93" s="116">
        <v>0</v>
      </c>
      <c r="X93" s="116">
        <v>4724</v>
      </c>
      <c r="Y93" s="116">
        <v>1167</v>
      </c>
      <c r="Z93" s="116">
        <v>5891</v>
      </c>
      <c r="AA93" s="116">
        <v>1772</v>
      </c>
      <c r="AB93" s="116">
        <v>640</v>
      </c>
      <c r="AC93" s="10" t="s">
        <v>115</v>
      </c>
    </row>
    <row r="94" spans="2:29" x14ac:dyDescent="0.15">
      <c r="B94" s="105" t="s">
        <v>409</v>
      </c>
      <c r="C94" s="105" t="s">
        <v>872</v>
      </c>
      <c r="D94" s="32" t="s">
        <v>410</v>
      </c>
      <c r="E94" s="33">
        <v>10508</v>
      </c>
      <c r="F94" s="33">
        <v>0</v>
      </c>
      <c r="G94" s="33">
        <v>4324</v>
      </c>
      <c r="H94" s="33">
        <v>14832</v>
      </c>
      <c r="I94" s="33">
        <v>7019</v>
      </c>
      <c r="J94" s="33">
        <v>0</v>
      </c>
      <c r="K94" s="33">
        <v>4149</v>
      </c>
      <c r="L94" s="33">
        <v>11168</v>
      </c>
      <c r="M94" s="33">
        <v>3489</v>
      </c>
      <c r="N94" s="33">
        <v>0</v>
      </c>
      <c r="O94" s="33">
        <v>175</v>
      </c>
      <c r="P94" s="33">
        <v>3664</v>
      </c>
      <c r="Q94" s="56">
        <v>0.75296655879180152</v>
      </c>
      <c r="R94" s="56">
        <v>0.66796726303768561</v>
      </c>
      <c r="S94" s="56" t="s">
        <v>41</v>
      </c>
      <c r="T94" s="56">
        <v>0.95952821461609616</v>
      </c>
      <c r="U94" s="116">
        <v>4515</v>
      </c>
      <c r="V94" s="116">
        <v>0</v>
      </c>
      <c r="W94" s="116">
        <v>0</v>
      </c>
      <c r="X94" s="116">
        <v>4515</v>
      </c>
      <c r="Y94" s="116">
        <v>860</v>
      </c>
      <c r="Z94" s="116">
        <v>5375</v>
      </c>
      <c r="AA94" s="116">
        <v>1610</v>
      </c>
      <c r="AB94" s="116">
        <v>339</v>
      </c>
      <c r="AC94" s="10" t="s">
        <v>123</v>
      </c>
    </row>
    <row r="95" spans="2:29" x14ac:dyDescent="0.15">
      <c r="B95" s="105" t="s">
        <v>316</v>
      </c>
      <c r="C95" s="105" t="s">
        <v>872</v>
      </c>
      <c r="D95" s="32" t="s">
        <v>317</v>
      </c>
      <c r="E95" s="33">
        <v>14684</v>
      </c>
      <c r="F95" s="33">
        <v>0</v>
      </c>
      <c r="G95" s="33">
        <v>6398</v>
      </c>
      <c r="H95" s="33">
        <v>21082</v>
      </c>
      <c r="I95" s="33">
        <v>7755</v>
      </c>
      <c r="J95" s="33">
        <v>0</v>
      </c>
      <c r="K95" s="33">
        <v>6264</v>
      </c>
      <c r="L95" s="33">
        <v>14019</v>
      </c>
      <c r="M95" s="33">
        <v>6929</v>
      </c>
      <c r="N95" s="33">
        <v>0</v>
      </c>
      <c r="O95" s="33">
        <v>134</v>
      </c>
      <c r="P95" s="33">
        <v>7063</v>
      </c>
      <c r="Q95" s="56">
        <v>0.66497486007020212</v>
      </c>
      <c r="R95" s="56">
        <v>0.52812585126668488</v>
      </c>
      <c r="S95" s="56" t="s">
        <v>41</v>
      </c>
      <c r="T95" s="56">
        <v>0.97905595498593312</v>
      </c>
      <c r="U95" s="116">
        <v>3204</v>
      </c>
      <c r="V95" s="116">
        <v>0</v>
      </c>
      <c r="W95" s="116">
        <v>0</v>
      </c>
      <c r="X95" s="116">
        <v>3204</v>
      </c>
      <c r="Y95" s="116">
        <v>802</v>
      </c>
      <c r="Z95" s="116">
        <v>4006</v>
      </c>
      <c r="AA95" s="116">
        <v>1819</v>
      </c>
      <c r="AB95" s="116">
        <v>1062</v>
      </c>
      <c r="AC95" s="10" t="s">
        <v>79</v>
      </c>
    </row>
    <row r="96" spans="2:29" x14ac:dyDescent="0.15">
      <c r="B96" s="105" t="s">
        <v>318</v>
      </c>
      <c r="C96" s="105" t="s">
        <v>872</v>
      </c>
      <c r="D96" s="32" t="s">
        <v>319</v>
      </c>
      <c r="E96" s="33">
        <v>6436</v>
      </c>
      <c r="F96" s="33">
        <v>976</v>
      </c>
      <c r="G96" s="33">
        <v>148</v>
      </c>
      <c r="H96" s="33">
        <v>7560</v>
      </c>
      <c r="I96" s="33">
        <v>3811</v>
      </c>
      <c r="J96" s="33">
        <v>976</v>
      </c>
      <c r="K96" s="33">
        <v>148</v>
      </c>
      <c r="L96" s="33">
        <v>4935</v>
      </c>
      <c r="M96" s="33">
        <v>2625</v>
      </c>
      <c r="N96" s="33">
        <v>0</v>
      </c>
      <c r="O96" s="33">
        <v>0</v>
      </c>
      <c r="P96" s="33">
        <v>2625</v>
      </c>
      <c r="Q96" s="56">
        <v>0.65277777777777779</v>
      </c>
      <c r="R96" s="56">
        <v>0.59213797389683032</v>
      </c>
      <c r="S96" s="56">
        <v>1</v>
      </c>
      <c r="T96" s="56">
        <v>1</v>
      </c>
      <c r="U96" s="116">
        <v>1423</v>
      </c>
      <c r="V96" s="116">
        <v>0</v>
      </c>
      <c r="W96" s="116">
        <v>0</v>
      </c>
      <c r="X96" s="116">
        <v>1423</v>
      </c>
      <c r="Y96" s="116">
        <v>178</v>
      </c>
      <c r="Z96" s="116">
        <v>1601</v>
      </c>
      <c r="AA96" s="116">
        <v>583</v>
      </c>
      <c r="AB96" s="116">
        <v>135</v>
      </c>
      <c r="AC96" s="10" t="s">
        <v>79</v>
      </c>
    </row>
    <row r="97" spans="2:29" x14ac:dyDescent="0.15">
      <c r="B97" s="105" t="s">
        <v>529</v>
      </c>
      <c r="C97" s="105" t="s">
        <v>869</v>
      </c>
      <c r="D97" s="32" t="s">
        <v>530</v>
      </c>
      <c r="E97" s="33">
        <v>6549</v>
      </c>
      <c r="F97" s="33">
        <v>278</v>
      </c>
      <c r="G97" s="33">
        <v>0</v>
      </c>
      <c r="H97" s="33">
        <v>6827</v>
      </c>
      <c r="I97" s="33">
        <v>3945</v>
      </c>
      <c r="J97" s="33">
        <v>278</v>
      </c>
      <c r="K97" s="33">
        <v>0</v>
      </c>
      <c r="L97" s="33">
        <v>4223</v>
      </c>
      <c r="M97" s="33">
        <v>2604</v>
      </c>
      <c r="N97" s="33">
        <v>0</v>
      </c>
      <c r="O97" s="33">
        <v>0</v>
      </c>
      <c r="P97" s="33">
        <v>2604</v>
      </c>
      <c r="Q97" s="56">
        <v>0.6185733118500073</v>
      </c>
      <c r="R97" s="56">
        <v>0.6023820430600092</v>
      </c>
      <c r="S97" s="56">
        <v>1</v>
      </c>
      <c r="T97" s="56" t="s">
        <v>41</v>
      </c>
      <c r="U97" s="116">
        <v>1511</v>
      </c>
      <c r="V97" s="116">
        <v>0</v>
      </c>
      <c r="W97" s="116">
        <v>0</v>
      </c>
      <c r="X97" s="116">
        <v>1511</v>
      </c>
      <c r="Y97" s="116">
        <v>487</v>
      </c>
      <c r="Z97" s="116">
        <v>1998</v>
      </c>
      <c r="AA97" s="116">
        <v>570</v>
      </c>
      <c r="AB97" s="116">
        <v>181</v>
      </c>
      <c r="AC97" s="10" t="s">
        <v>125</v>
      </c>
    </row>
    <row r="98" spans="2:29" x14ac:dyDescent="0.15">
      <c r="B98" s="105" t="s">
        <v>521</v>
      </c>
      <c r="C98" s="105" t="s">
        <v>869</v>
      </c>
      <c r="D98" s="32" t="s">
        <v>522</v>
      </c>
      <c r="E98" s="33">
        <v>10098</v>
      </c>
      <c r="F98" s="33">
        <v>0</v>
      </c>
      <c r="G98" s="33">
        <v>0</v>
      </c>
      <c r="H98" s="33">
        <v>10098</v>
      </c>
      <c r="I98" s="33">
        <v>7197</v>
      </c>
      <c r="J98" s="33">
        <v>0</v>
      </c>
      <c r="K98" s="33">
        <v>0</v>
      </c>
      <c r="L98" s="33">
        <v>7197</v>
      </c>
      <c r="M98" s="33">
        <v>2901</v>
      </c>
      <c r="N98" s="33">
        <v>0</v>
      </c>
      <c r="O98" s="33">
        <v>0</v>
      </c>
      <c r="P98" s="33">
        <v>2901</v>
      </c>
      <c r="Q98" s="56">
        <v>0.71271538918597743</v>
      </c>
      <c r="R98" s="56">
        <v>0.71271538918597743</v>
      </c>
      <c r="S98" s="56" t="s">
        <v>41</v>
      </c>
      <c r="T98" s="56" t="s">
        <v>41</v>
      </c>
      <c r="U98" s="116">
        <v>3464</v>
      </c>
      <c r="V98" s="116">
        <v>0</v>
      </c>
      <c r="W98" s="116">
        <v>0</v>
      </c>
      <c r="X98" s="116">
        <v>3464</v>
      </c>
      <c r="Y98" s="116">
        <v>485</v>
      </c>
      <c r="Z98" s="116">
        <v>3949</v>
      </c>
      <c r="AA98" s="116">
        <v>739</v>
      </c>
      <c r="AB98" s="116">
        <v>109</v>
      </c>
      <c r="AC98" s="10" t="s">
        <v>113</v>
      </c>
    </row>
    <row r="99" spans="2:29" x14ac:dyDescent="0.15">
      <c r="B99" s="105" t="s">
        <v>531</v>
      </c>
      <c r="C99" s="105" t="s">
        <v>869</v>
      </c>
      <c r="D99" s="32" t="s">
        <v>532</v>
      </c>
      <c r="E99" s="33">
        <v>9332</v>
      </c>
      <c r="F99" s="33">
        <v>861</v>
      </c>
      <c r="G99" s="33">
        <v>3753</v>
      </c>
      <c r="H99" s="33">
        <v>13946</v>
      </c>
      <c r="I99" s="33">
        <v>6849</v>
      </c>
      <c r="J99" s="33">
        <v>861</v>
      </c>
      <c r="K99" s="33">
        <v>3745</v>
      </c>
      <c r="L99" s="33">
        <v>11455</v>
      </c>
      <c r="M99" s="33">
        <v>2483</v>
      </c>
      <c r="N99" s="33">
        <v>0</v>
      </c>
      <c r="O99" s="33">
        <v>8</v>
      </c>
      <c r="P99" s="33">
        <v>2491</v>
      </c>
      <c r="Q99" s="56">
        <v>0.82138247526172381</v>
      </c>
      <c r="R99" s="56">
        <v>0.73392627518216891</v>
      </c>
      <c r="S99" s="56">
        <v>1</v>
      </c>
      <c r="T99" s="56">
        <v>0.99786837196909139</v>
      </c>
      <c r="U99" s="116">
        <v>2582</v>
      </c>
      <c r="V99" s="116">
        <v>0</v>
      </c>
      <c r="W99" s="116">
        <v>8</v>
      </c>
      <c r="X99" s="116">
        <v>2590</v>
      </c>
      <c r="Y99" s="116">
        <v>1210</v>
      </c>
      <c r="Z99" s="116">
        <v>3800</v>
      </c>
      <c r="AA99" s="116">
        <v>848</v>
      </c>
      <c r="AB99" s="116">
        <v>215</v>
      </c>
      <c r="AC99" s="10" t="s">
        <v>125</v>
      </c>
    </row>
    <row r="100" spans="2:29" x14ac:dyDescent="0.15">
      <c r="B100" s="105" t="s">
        <v>498</v>
      </c>
      <c r="C100" s="105" t="s">
        <v>869</v>
      </c>
      <c r="D100" s="32" t="s">
        <v>499</v>
      </c>
      <c r="E100" s="33">
        <v>0</v>
      </c>
      <c r="F100" s="33">
        <v>0</v>
      </c>
      <c r="G100" s="33">
        <v>3624</v>
      </c>
      <c r="H100" s="33">
        <v>3624</v>
      </c>
      <c r="I100" s="33">
        <v>0</v>
      </c>
      <c r="J100" s="33">
        <v>0</v>
      </c>
      <c r="K100" s="33">
        <v>3142</v>
      </c>
      <c r="L100" s="33">
        <v>3142</v>
      </c>
      <c r="M100" s="33">
        <v>0</v>
      </c>
      <c r="N100" s="33">
        <v>0</v>
      </c>
      <c r="O100" s="33">
        <v>482</v>
      </c>
      <c r="P100" s="33">
        <v>482</v>
      </c>
      <c r="Q100" s="56">
        <v>0.86699779249448128</v>
      </c>
      <c r="R100" s="56" t="s">
        <v>41</v>
      </c>
      <c r="S100" s="56" t="s">
        <v>41</v>
      </c>
      <c r="T100" s="56">
        <v>0.86699779249448128</v>
      </c>
      <c r="U100" s="116">
        <v>0</v>
      </c>
      <c r="V100" s="116">
        <v>0</v>
      </c>
      <c r="W100" s="116">
        <v>0</v>
      </c>
      <c r="X100" s="116">
        <v>0</v>
      </c>
      <c r="Y100" s="116">
        <v>0</v>
      </c>
      <c r="Z100" s="116">
        <v>0</v>
      </c>
      <c r="AA100" s="116">
        <v>0</v>
      </c>
      <c r="AB100" s="116">
        <v>0</v>
      </c>
      <c r="AC100" s="10" t="s">
        <v>83</v>
      </c>
    </row>
    <row r="101" spans="2:29" x14ac:dyDescent="0.15">
      <c r="B101" s="105" t="s">
        <v>500</v>
      </c>
      <c r="C101" s="105" t="s">
        <v>869</v>
      </c>
      <c r="D101" s="32" t="s">
        <v>501</v>
      </c>
      <c r="E101" s="33">
        <v>0</v>
      </c>
      <c r="F101" s="33">
        <v>0</v>
      </c>
      <c r="G101" s="33">
        <v>1478</v>
      </c>
      <c r="H101" s="33">
        <v>1478</v>
      </c>
      <c r="I101" s="33">
        <v>0</v>
      </c>
      <c r="J101" s="33">
        <v>0</v>
      </c>
      <c r="K101" s="33">
        <v>1396</v>
      </c>
      <c r="L101" s="33">
        <v>1396</v>
      </c>
      <c r="M101" s="33">
        <v>0</v>
      </c>
      <c r="N101" s="33">
        <v>0</v>
      </c>
      <c r="O101" s="33">
        <v>82</v>
      </c>
      <c r="P101" s="33">
        <v>82</v>
      </c>
      <c r="Q101" s="56">
        <v>0.94451962110960763</v>
      </c>
      <c r="R101" s="56" t="s">
        <v>41</v>
      </c>
      <c r="S101" s="56" t="s">
        <v>41</v>
      </c>
      <c r="T101" s="56">
        <v>0.94451962110960763</v>
      </c>
      <c r="U101" s="116">
        <v>0</v>
      </c>
      <c r="V101" s="116">
        <v>0</v>
      </c>
      <c r="W101" s="116">
        <v>0</v>
      </c>
      <c r="X101" s="116">
        <v>0</v>
      </c>
      <c r="Y101" s="116">
        <v>0</v>
      </c>
      <c r="Z101" s="116">
        <v>0</v>
      </c>
      <c r="AA101" s="116">
        <v>0</v>
      </c>
      <c r="AB101" s="116">
        <v>0</v>
      </c>
      <c r="AC101" s="10" t="s">
        <v>83</v>
      </c>
    </row>
    <row r="102" spans="2:29" x14ac:dyDescent="0.15">
      <c r="B102" s="105" t="s">
        <v>533</v>
      </c>
      <c r="C102" s="105" t="s">
        <v>869</v>
      </c>
      <c r="D102" s="32" t="s">
        <v>729</v>
      </c>
      <c r="E102" s="33">
        <v>16465</v>
      </c>
      <c r="F102" s="33">
        <v>0</v>
      </c>
      <c r="G102" s="33">
        <v>0</v>
      </c>
      <c r="H102" s="33">
        <v>16465</v>
      </c>
      <c r="I102" s="33">
        <v>14048</v>
      </c>
      <c r="J102" s="33">
        <v>0</v>
      </c>
      <c r="K102" s="33">
        <v>0</v>
      </c>
      <c r="L102" s="33">
        <v>14048</v>
      </c>
      <c r="M102" s="33">
        <v>2417</v>
      </c>
      <c r="N102" s="33">
        <v>0</v>
      </c>
      <c r="O102" s="33">
        <v>0</v>
      </c>
      <c r="P102" s="33">
        <v>2417</v>
      </c>
      <c r="Q102" s="56">
        <v>0.85320376556331612</v>
      </c>
      <c r="R102" s="56">
        <v>0.85320376556331612</v>
      </c>
      <c r="S102" s="56" t="s">
        <v>41</v>
      </c>
      <c r="T102" s="56" t="s">
        <v>41</v>
      </c>
      <c r="U102" s="116">
        <v>2876</v>
      </c>
      <c r="V102" s="116">
        <v>0</v>
      </c>
      <c r="W102" s="116">
        <v>0</v>
      </c>
      <c r="X102" s="116">
        <v>2876</v>
      </c>
      <c r="Y102" s="116">
        <v>200</v>
      </c>
      <c r="Z102" s="116">
        <v>3076</v>
      </c>
      <c r="AA102" s="116">
        <v>1127</v>
      </c>
      <c r="AB102" s="116">
        <v>41</v>
      </c>
      <c r="AC102" s="10" t="s">
        <v>125</v>
      </c>
    </row>
    <row r="103" spans="2:29" x14ac:dyDescent="0.15">
      <c r="B103" s="105" t="s">
        <v>445</v>
      </c>
      <c r="C103" s="105" t="s">
        <v>869</v>
      </c>
      <c r="D103" s="32" t="s">
        <v>730</v>
      </c>
      <c r="E103" s="33">
        <v>12901</v>
      </c>
      <c r="F103" s="33">
        <v>0</v>
      </c>
      <c r="G103" s="33">
        <v>10457</v>
      </c>
      <c r="H103" s="33">
        <v>23358</v>
      </c>
      <c r="I103" s="33">
        <v>7588</v>
      </c>
      <c r="J103" s="33">
        <v>0</v>
      </c>
      <c r="K103" s="33">
        <v>10457</v>
      </c>
      <c r="L103" s="33">
        <v>18045</v>
      </c>
      <c r="M103" s="33">
        <v>5313</v>
      </c>
      <c r="N103" s="33">
        <v>0</v>
      </c>
      <c r="O103" s="33">
        <v>0</v>
      </c>
      <c r="P103" s="33">
        <v>5313</v>
      </c>
      <c r="Q103" s="56">
        <v>0.77254045723092735</v>
      </c>
      <c r="R103" s="56">
        <v>0.58817145957677697</v>
      </c>
      <c r="S103" s="56" t="s">
        <v>41</v>
      </c>
      <c r="T103" s="56">
        <v>1</v>
      </c>
      <c r="U103" s="116">
        <v>4072</v>
      </c>
      <c r="V103" s="116">
        <v>0</v>
      </c>
      <c r="W103" s="116">
        <v>0</v>
      </c>
      <c r="X103" s="116">
        <v>4072</v>
      </c>
      <c r="Y103" s="116">
        <v>838</v>
      </c>
      <c r="Z103" s="116">
        <v>4910</v>
      </c>
      <c r="AA103" s="116">
        <v>1849</v>
      </c>
      <c r="AB103" s="116">
        <v>52</v>
      </c>
      <c r="AC103" s="10" t="s">
        <v>61</v>
      </c>
    </row>
    <row r="104" spans="2:29" x14ac:dyDescent="0.15">
      <c r="B104" s="105" t="s">
        <v>523</v>
      </c>
      <c r="C104" s="105" t="s">
        <v>869</v>
      </c>
      <c r="D104" s="32" t="s">
        <v>731</v>
      </c>
      <c r="E104" s="33">
        <v>14439</v>
      </c>
      <c r="F104" s="33">
        <v>0</v>
      </c>
      <c r="G104" s="33">
        <v>4120</v>
      </c>
      <c r="H104" s="33">
        <v>18559</v>
      </c>
      <c r="I104" s="33">
        <v>9492</v>
      </c>
      <c r="J104" s="33">
        <v>0</v>
      </c>
      <c r="K104" s="33">
        <v>4111</v>
      </c>
      <c r="L104" s="33">
        <v>13603</v>
      </c>
      <c r="M104" s="33">
        <v>4947</v>
      </c>
      <c r="N104" s="33">
        <v>0</v>
      </c>
      <c r="O104" s="33">
        <v>9</v>
      </c>
      <c r="P104" s="33">
        <v>4956</v>
      </c>
      <c r="Q104" s="56">
        <v>0.73295974998652946</v>
      </c>
      <c r="R104" s="56">
        <v>0.65738624558487435</v>
      </c>
      <c r="S104" s="56" t="s">
        <v>41</v>
      </c>
      <c r="T104" s="56">
        <v>0.99781553398058254</v>
      </c>
      <c r="U104" s="116">
        <v>3970</v>
      </c>
      <c r="V104" s="116">
        <v>0</v>
      </c>
      <c r="W104" s="116">
        <v>341</v>
      </c>
      <c r="X104" s="116">
        <v>4311</v>
      </c>
      <c r="Y104" s="116">
        <v>849</v>
      </c>
      <c r="Z104" s="116">
        <v>5160</v>
      </c>
      <c r="AA104" s="116">
        <v>1748</v>
      </c>
      <c r="AB104" s="116">
        <v>376</v>
      </c>
      <c r="AC104" s="10" t="s">
        <v>113</v>
      </c>
    </row>
    <row r="105" spans="2:29" x14ac:dyDescent="0.15">
      <c r="B105" s="105" t="s">
        <v>502</v>
      </c>
      <c r="C105" s="105" t="s">
        <v>869</v>
      </c>
      <c r="D105" s="32" t="s">
        <v>503</v>
      </c>
      <c r="E105" s="33">
        <v>0</v>
      </c>
      <c r="F105" s="33">
        <v>0</v>
      </c>
      <c r="G105" s="33">
        <v>2956</v>
      </c>
      <c r="H105" s="33">
        <v>2956</v>
      </c>
      <c r="I105" s="33">
        <v>0</v>
      </c>
      <c r="J105" s="33">
        <v>0</v>
      </c>
      <c r="K105" s="33">
        <v>2760</v>
      </c>
      <c r="L105" s="33">
        <v>2760</v>
      </c>
      <c r="M105" s="33">
        <v>0</v>
      </c>
      <c r="N105" s="33">
        <v>0</v>
      </c>
      <c r="O105" s="33">
        <v>196</v>
      </c>
      <c r="P105" s="33">
        <v>196</v>
      </c>
      <c r="Q105" s="56">
        <v>0.93369418132611637</v>
      </c>
      <c r="R105" s="56" t="s">
        <v>41</v>
      </c>
      <c r="S105" s="56" t="s">
        <v>41</v>
      </c>
      <c r="T105" s="56">
        <v>0.93369418132611637</v>
      </c>
      <c r="U105" s="116">
        <v>0</v>
      </c>
      <c r="V105" s="116">
        <v>0</v>
      </c>
      <c r="W105" s="116">
        <v>0</v>
      </c>
      <c r="X105" s="116">
        <v>0</v>
      </c>
      <c r="Y105" s="116">
        <v>0</v>
      </c>
      <c r="Z105" s="116">
        <v>0</v>
      </c>
      <c r="AA105" s="116">
        <v>0</v>
      </c>
      <c r="AB105" s="116">
        <v>0</v>
      </c>
      <c r="AC105" s="10" t="s">
        <v>83</v>
      </c>
    </row>
    <row r="106" spans="2:29" x14ac:dyDescent="0.15">
      <c r="B106" s="105" t="s">
        <v>448</v>
      </c>
      <c r="C106" s="105" t="s">
        <v>869</v>
      </c>
      <c r="D106" s="32" t="s">
        <v>449</v>
      </c>
      <c r="E106" s="33">
        <v>5605</v>
      </c>
      <c r="F106" s="33">
        <v>0</v>
      </c>
      <c r="G106" s="33">
        <v>4691</v>
      </c>
      <c r="H106" s="33">
        <v>10296</v>
      </c>
      <c r="I106" s="33">
        <v>3303</v>
      </c>
      <c r="J106" s="33">
        <v>0</v>
      </c>
      <c r="K106" s="33">
        <v>4649</v>
      </c>
      <c r="L106" s="33">
        <v>7952</v>
      </c>
      <c r="M106" s="33">
        <v>2302</v>
      </c>
      <c r="N106" s="33">
        <v>0</v>
      </c>
      <c r="O106" s="33">
        <v>42</v>
      </c>
      <c r="P106" s="33">
        <v>2344</v>
      </c>
      <c r="Q106" s="56">
        <v>0.77233877233877235</v>
      </c>
      <c r="R106" s="56">
        <v>0.5892952720785013</v>
      </c>
      <c r="S106" s="56" t="s">
        <v>41</v>
      </c>
      <c r="T106" s="56">
        <v>0.99104668514176086</v>
      </c>
      <c r="U106" s="116">
        <v>1815</v>
      </c>
      <c r="V106" s="116">
        <v>0</v>
      </c>
      <c r="W106" s="116">
        <v>0</v>
      </c>
      <c r="X106" s="116">
        <v>1815</v>
      </c>
      <c r="Y106" s="116">
        <v>43</v>
      </c>
      <c r="Z106" s="116">
        <v>1858</v>
      </c>
      <c r="AA106" s="116">
        <v>599</v>
      </c>
      <c r="AB106" s="116">
        <v>11</v>
      </c>
      <c r="AC106" s="10" t="s">
        <v>61</v>
      </c>
    </row>
    <row r="107" spans="2:29" x14ac:dyDescent="0.15">
      <c r="B107" s="105" t="s">
        <v>506</v>
      </c>
      <c r="C107" s="105" t="s">
        <v>869</v>
      </c>
      <c r="D107" s="32" t="s">
        <v>507</v>
      </c>
      <c r="E107" s="33">
        <v>0</v>
      </c>
      <c r="F107" s="33">
        <v>0</v>
      </c>
      <c r="G107" s="33">
        <v>1652</v>
      </c>
      <c r="H107" s="33">
        <v>1652</v>
      </c>
      <c r="I107" s="33">
        <v>0</v>
      </c>
      <c r="J107" s="33">
        <v>0</v>
      </c>
      <c r="K107" s="33">
        <v>1610</v>
      </c>
      <c r="L107" s="33">
        <v>1610</v>
      </c>
      <c r="M107" s="33">
        <v>0</v>
      </c>
      <c r="N107" s="33">
        <v>0</v>
      </c>
      <c r="O107" s="33">
        <v>42</v>
      </c>
      <c r="P107" s="33">
        <v>42</v>
      </c>
      <c r="Q107" s="56">
        <v>0.97457627118644063</v>
      </c>
      <c r="R107" s="56" t="s">
        <v>41</v>
      </c>
      <c r="S107" s="56" t="s">
        <v>41</v>
      </c>
      <c r="T107" s="56">
        <v>0.97457627118644063</v>
      </c>
      <c r="U107" s="116">
        <v>0</v>
      </c>
      <c r="V107" s="116">
        <v>0</v>
      </c>
      <c r="W107" s="116">
        <v>0</v>
      </c>
      <c r="X107" s="116">
        <v>0</v>
      </c>
      <c r="Y107" s="116">
        <v>0</v>
      </c>
      <c r="Z107" s="116">
        <v>0</v>
      </c>
      <c r="AA107" s="116">
        <v>0</v>
      </c>
      <c r="AB107" s="116">
        <v>0</v>
      </c>
      <c r="AC107" s="10" t="s">
        <v>83</v>
      </c>
    </row>
    <row r="108" spans="2:29" x14ac:dyDescent="0.15">
      <c r="B108" s="105" t="s">
        <v>534</v>
      </c>
      <c r="C108" s="105" t="s">
        <v>869</v>
      </c>
      <c r="D108" s="32" t="s">
        <v>732</v>
      </c>
      <c r="E108" s="33">
        <v>5599</v>
      </c>
      <c r="F108" s="33">
        <v>0</v>
      </c>
      <c r="G108" s="33">
        <v>1520</v>
      </c>
      <c r="H108" s="33">
        <v>7119</v>
      </c>
      <c r="I108" s="33">
        <v>3626</v>
      </c>
      <c r="J108" s="33">
        <v>0</v>
      </c>
      <c r="K108" s="33">
        <v>1508</v>
      </c>
      <c r="L108" s="33">
        <v>5134</v>
      </c>
      <c r="M108" s="33">
        <v>1973</v>
      </c>
      <c r="N108" s="33">
        <v>0</v>
      </c>
      <c r="O108" s="33">
        <v>12</v>
      </c>
      <c r="P108" s="33">
        <v>1985</v>
      </c>
      <c r="Q108" s="56">
        <v>0.72116870346958839</v>
      </c>
      <c r="R108" s="56">
        <v>0.64761564565100915</v>
      </c>
      <c r="S108" s="56" t="s">
        <v>41</v>
      </c>
      <c r="T108" s="56">
        <v>0.99210526315789471</v>
      </c>
      <c r="U108" s="116">
        <v>1163</v>
      </c>
      <c r="V108" s="116">
        <v>0</v>
      </c>
      <c r="W108" s="116">
        <v>0</v>
      </c>
      <c r="X108" s="116">
        <v>1163</v>
      </c>
      <c r="Y108" s="116">
        <v>243</v>
      </c>
      <c r="Z108" s="116">
        <v>1406</v>
      </c>
      <c r="AA108" s="116">
        <v>70</v>
      </c>
      <c r="AB108" s="116">
        <v>1</v>
      </c>
      <c r="AC108" s="10" t="s">
        <v>83</v>
      </c>
    </row>
    <row r="109" spans="2:29" x14ac:dyDescent="0.15">
      <c r="B109" s="105" t="s">
        <v>510</v>
      </c>
      <c r="C109" s="105" t="s">
        <v>869</v>
      </c>
      <c r="D109" s="32" t="s">
        <v>511</v>
      </c>
      <c r="E109" s="33">
        <v>10218</v>
      </c>
      <c r="F109" s="33">
        <v>0</v>
      </c>
      <c r="G109" s="33">
        <v>4005</v>
      </c>
      <c r="H109" s="33">
        <v>14223</v>
      </c>
      <c r="I109" s="33">
        <v>4333</v>
      </c>
      <c r="J109" s="33">
        <v>0</v>
      </c>
      <c r="K109" s="33">
        <v>3425</v>
      </c>
      <c r="L109" s="33">
        <v>7758</v>
      </c>
      <c r="M109" s="33">
        <v>5885</v>
      </c>
      <c r="N109" s="33">
        <v>0</v>
      </c>
      <c r="O109" s="33">
        <v>580</v>
      </c>
      <c r="P109" s="33">
        <v>6465</v>
      </c>
      <c r="Q109" s="56">
        <v>0.54545454545454541</v>
      </c>
      <c r="R109" s="56">
        <v>0.4240555881777256</v>
      </c>
      <c r="S109" s="56" t="s">
        <v>41</v>
      </c>
      <c r="T109" s="56">
        <v>0.85518102372034954</v>
      </c>
      <c r="U109" s="116">
        <v>3811</v>
      </c>
      <c r="V109" s="116">
        <v>0</v>
      </c>
      <c r="W109" s="116">
        <v>0</v>
      </c>
      <c r="X109" s="116">
        <v>3811</v>
      </c>
      <c r="Y109" s="116">
        <v>2108</v>
      </c>
      <c r="Z109" s="116">
        <v>5919</v>
      </c>
      <c r="AA109" s="116">
        <v>1503</v>
      </c>
      <c r="AB109" s="116">
        <v>612</v>
      </c>
      <c r="AC109" s="10" t="s">
        <v>83</v>
      </c>
    </row>
    <row r="110" spans="2:29" x14ac:dyDescent="0.15">
      <c r="B110" s="105" t="s">
        <v>512</v>
      </c>
      <c r="C110" s="105" t="s">
        <v>869</v>
      </c>
      <c r="D110" s="32" t="s">
        <v>825</v>
      </c>
      <c r="E110" s="33">
        <v>0</v>
      </c>
      <c r="F110" s="33">
        <v>0</v>
      </c>
      <c r="G110" s="33">
        <v>1132</v>
      </c>
      <c r="H110" s="33">
        <v>1132</v>
      </c>
      <c r="I110" s="33">
        <v>0</v>
      </c>
      <c r="J110" s="33">
        <v>0</v>
      </c>
      <c r="K110" s="33">
        <v>1122</v>
      </c>
      <c r="L110" s="33">
        <v>1122</v>
      </c>
      <c r="M110" s="33">
        <v>0</v>
      </c>
      <c r="N110" s="33">
        <v>0</v>
      </c>
      <c r="O110" s="33">
        <v>10</v>
      </c>
      <c r="P110" s="33">
        <v>10</v>
      </c>
      <c r="Q110" s="56">
        <v>0.99116607773851595</v>
      </c>
      <c r="R110" s="56" t="s">
        <v>41</v>
      </c>
      <c r="S110" s="56" t="s">
        <v>41</v>
      </c>
      <c r="T110" s="56">
        <v>0.99116607773851595</v>
      </c>
      <c r="U110" s="116">
        <v>0</v>
      </c>
      <c r="V110" s="116">
        <v>0</v>
      </c>
      <c r="W110" s="116">
        <v>0</v>
      </c>
      <c r="X110" s="116">
        <v>0</v>
      </c>
      <c r="Y110" s="116">
        <v>0</v>
      </c>
      <c r="Z110" s="116">
        <v>0</v>
      </c>
      <c r="AA110" s="116">
        <v>0</v>
      </c>
      <c r="AB110" s="116">
        <v>0</v>
      </c>
      <c r="AC110" s="10" t="s">
        <v>83</v>
      </c>
    </row>
    <row r="111" spans="2:29" x14ac:dyDescent="0.15">
      <c r="B111" s="105" t="s">
        <v>537</v>
      </c>
      <c r="C111" s="105" t="s">
        <v>869</v>
      </c>
      <c r="D111" s="32" t="s">
        <v>538</v>
      </c>
      <c r="E111" s="33">
        <v>19869</v>
      </c>
      <c r="F111" s="33">
        <v>729</v>
      </c>
      <c r="G111" s="33">
        <v>10824</v>
      </c>
      <c r="H111" s="33">
        <v>31422</v>
      </c>
      <c r="I111" s="33">
        <v>12276</v>
      </c>
      <c r="J111" s="33">
        <v>729</v>
      </c>
      <c r="K111" s="33">
        <v>10779</v>
      </c>
      <c r="L111" s="33">
        <v>23784</v>
      </c>
      <c r="M111" s="33">
        <v>7593</v>
      </c>
      <c r="N111" s="33">
        <v>0</v>
      </c>
      <c r="O111" s="33">
        <v>45</v>
      </c>
      <c r="P111" s="33">
        <v>7638</v>
      </c>
      <c r="Q111" s="56">
        <v>0.75692190185220543</v>
      </c>
      <c r="R111" s="56">
        <v>0.61784689717650609</v>
      </c>
      <c r="S111" s="56">
        <v>1</v>
      </c>
      <c r="T111" s="56">
        <v>0.99584257206208426</v>
      </c>
      <c r="U111" s="116">
        <v>3696</v>
      </c>
      <c r="V111" s="116">
        <v>0</v>
      </c>
      <c r="W111" s="116">
        <v>0</v>
      </c>
      <c r="X111" s="116">
        <v>3696</v>
      </c>
      <c r="Y111" s="116">
        <v>1164</v>
      </c>
      <c r="Z111" s="116">
        <v>4860</v>
      </c>
      <c r="AA111" s="116">
        <v>2146</v>
      </c>
      <c r="AB111" s="116">
        <v>685</v>
      </c>
      <c r="AC111" s="10" t="s">
        <v>125</v>
      </c>
    </row>
    <row r="112" spans="2:29" x14ac:dyDescent="0.15">
      <c r="B112" s="105" t="s">
        <v>539</v>
      </c>
      <c r="C112" s="105" t="s">
        <v>869</v>
      </c>
      <c r="D112" s="32" t="s">
        <v>828</v>
      </c>
      <c r="E112" s="33">
        <v>0</v>
      </c>
      <c r="F112" s="33">
        <v>0</v>
      </c>
      <c r="G112" s="33">
        <v>2517</v>
      </c>
      <c r="H112" s="33">
        <v>2517</v>
      </c>
      <c r="I112" s="33">
        <v>0</v>
      </c>
      <c r="J112" s="33">
        <v>0</v>
      </c>
      <c r="K112" s="33">
        <v>2508</v>
      </c>
      <c r="L112" s="33">
        <v>2508</v>
      </c>
      <c r="M112" s="33">
        <v>0</v>
      </c>
      <c r="N112" s="33">
        <v>0</v>
      </c>
      <c r="O112" s="33">
        <v>9</v>
      </c>
      <c r="P112" s="33">
        <v>9</v>
      </c>
      <c r="Q112" s="56">
        <v>0.9964243146603099</v>
      </c>
      <c r="R112" s="56" t="s">
        <v>41</v>
      </c>
      <c r="S112" s="56" t="s">
        <v>41</v>
      </c>
      <c r="T112" s="56">
        <v>0.9964243146603099</v>
      </c>
      <c r="U112" s="116">
        <v>0</v>
      </c>
      <c r="V112" s="116">
        <v>0</v>
      </c>
      <c r="W112" s="116">
        <v>0</v>
      </c>
      <c r="X112" s="116">
        <v>0</v>
      </c>
      <c r="Y112" s="116">
        <v>0</v>
      </c>
      <c r="Z112" s="116">
        <v>0</v>
      </c>
      <c r="AA112" s="116">
        <v>0</v>
      </c>
      <c r="AB112" s="116">
        <v>0</v>
      </c>
      <c r="AC112" s="10" t="s">
        <v>125</v>
      </c>
    </row>
    <row r="113" spans="2:29" x14ac:dyDescent="0.15">
      <c r="B113" s="105" t="s">
        <v>541</v>
      </c>
      <c r="C113" s="105" t="s">
        <v>869</v>
      </c>
      <c r="D113" s="32" t="s">
        <v>542</v>
      </c>
      <c r="E113" s="33">
        <v>17233</v>
      </c>
      <c r="F113" s="33">
        <v>139</v>
      </c>
      <c r="G113" s="33">
        <v>6757</v>
      </c>
      <c r="H113" s="33">
        <v>24129</v>
      </c>
      <c r="I113" s="33">
        <v>10193</v>
      </c>
      <c r="J113" s="33">
        <v>139</v>
      </c>
      <c r="K113" s="33">
        <v>6579</v>
      </c>
      <c r="L113" s="33">
        <v>16911</v>
      </c>
      <c r="M113" s="33">
        <v>7040</v>
      </c>
      <c r="N113" s="33">
        <v>0</v>
      </c>
      <c r="O113" s="33">
        <v>178</v>
      </c>
      <c r="P113" s="33">
        <v>7218</v>
      </c>
      <c r="Q113" s="56">
        <v>0.70085788884744493</v>
      </c>
      <c r="R113" s="56">
        <v>0.59148145998955493</v>
      </c>
      <c r="S113" s="56">
        <v>1</v>
      </c>
      <c r="T113" s="56">
        <v>0.97365694834985939</v>
      </c>
      <c r="U113" s="116">
        <v>3415</v>
      </c>
      <c r="V113" s="116">
        <v>0</v>
      </c>
      <c r="W113" s="116">
        <v>173</v>
      </c>
      <c r="X113" s="116">
        <v>3588</v>
      </c>
      <c r="Y113" s="116">
        <v>742</v>
      </c>
      <c r="Z113" s="116">
        <v>4330</v>
      </c>
      <c r="AA113" s="116">
        <v>2249</v>
      </c>
      <c r="AB113" s="116">
        <v>213</v>
      </c>
      <c r="AC113" s="10" t="s">
        <v>125</v>
      </c>
    </row>
    <row r="114" spans="2:29" x14ac:dyDescent="0.15">
      <c r="B114" s="105" t="s">
        <v>446</v>
      </c>
      <c r="C114" s="105" t="s">
        <v>869</v>
      </c>
      <c r="D114" s="32" t="s">
        <v>447</v>
      </c>
      <c r="E114" s="33">
        <v>9184</v>
      </c>
      <c r="F114" s="33">
        <v>0</v>
      </c>
      <c r="G114" s="33">
        <v>3015</v>
      </c>
      <c r="H114" s="33">
        <v>12199</v>
      </c>
      <c r="I114" s="33">
        <v>4747</v>
      </c>
      <c r="J114" s="33">
        <v>0</v>
      </c>
      <c r="K114" s="33">
        <v>2866</v>
      </c>
      <c r="L114" s="33">
        <v>7613</v>
      </c>
      <c r="M114" s="33">
        <v>4437</v>
      </c>
      <c r="N114" s="33">
        <v>0</v>
      </c>
      <c r="O114" s="33">
        <v>149</v>
      </c>
      <c r="P114" s="33">
        <v>4586</v>
      </c>
      <c r="Q114" s="56">
        <v>0.62406754652020657</v>
      </c>
      <c r="R114" s="56">
        <v>0.51687717770034847</v>
      </c>
      <c r="S114" s="56" t="s">
        <v>41</v>
      </c>
      <c r="T114" s="56">
        <v>0.95058043117744606</v>
      </c>
      <c r="U114" s="116">
        <v>2298</v>
      </c>
      <c r="V114" s="116">
        <v>0</v>
      </c>
      <c r="W114" s="116">
        <v>0</v>
      </c>
      <c r="X114" s="116">
        <v>2298</v>
      </c>
      <c r="Y114" s="116">
        <v>379</v>
      </c>
      <c r="Z114" s="116">
        <v>2677</v>
      </c>
      <c r="AA114" s="116">
        <v>802</v>
      </c>
      <c r="AB114" s="116">
        <v>229</v>
      </c>
      <c r="AC114" s="10" t="s">
        <v>61</v>
      </c>
    </row>
    <row r="115" spans="2:29" x14ac:dyDescent="0.15">
      <c r="B115" s="105" t="s">
        <v>450</v>
      </c>
      <c r="C115" s="105" t="s">
        <v>869</v>
      </c>
      <c r="D115" s="32" t="s">
        <v>733</v>
      </c>
      <c r="E115" s="33">
        <v>5103</v>
      </c>
      <c r="F115" s="33">
        <v>0</v>
      </c>
      <c r="G115" s="33">
        <v>11239</v>
      </c>
      <c r="H115" s="33">
        <v>16342</v>
      </c>
      <c r="I115" s="33">
        <v>2048</v>
      </c>
      <c r="J115" s="33">
        <v>0</v>
      </c>
      <c r="K115" s="33">
        <v>11191</v>
      </c>
      <c r="L115" s="33">
        <v>13239</v>
      </c>
      <c r="M115" s="33">
        <v>3055</v>
      </c>
      <c r="N115" s="33">
        <v>0</v>
      </c>
      <c r="O115" s="33">
        <v>48</v>
      </c>
      <c r="P115" s="33">
        <v>3103</v>
      </c>
      <c r="Q115" s="56">
        <v>0.81012116020070979</v>
      </c>
      <c r="R115" s="56">
        <v>0.40133254948069763</v>
      </c>
      <c r="S115" s="56" t="s">
        <v>41</v>
      </c>
      <c r="T115" s="56">
        <v>0.995729157398345</v>
      </c>
      <c r="U115" s="116">
        <v>1614</v>
      </c>
      <c r="V115" s="116">
        <v>0</v>
      </c>
      <c r="W115" s="116">
        <v>499</v>
      </c>
      <c r="X115" s="116">
        <v>2113</v>
      </c>
      <c r="Y115" s="116">
        <v>2325</v>
      </c>
      <c r="Z115" s="116">
        <v>4438</v>
      </c>
      <c r="AA115" s="116">
        <v>252</v>
      </c>
      <c r="AB115" s="116">
        <v>25</v>
      </c>
      <c r="AC115" s="10" t="s">
        <v>61</v>
      </c>
    </row>
    <row r="116" spans="2:29" x14ac:dyDescent="0.15">
      <c r="B116" s="105" t="s">
        <v>514</v>
      </c>
      <c r="C116" s="105" t="s">
        <v>869</v>
      </c>
      <c r="D116" s="32" t="s">
        <v>734</v>
      </c>
      <c r="E116" s="33">
        <v>10716</v>
      </c>
      <c r="F116" s="33">
        <v>0</v>
      </c>
      <c r="G116" s="33">
        <v>6714</v>
      </c>
      <c r="H116" s="33">
        <v>17430</v>
      </c>
      <c r="I116" s="33">
        <v>5443</v>
      </c>
      <c r="J116" s="33">
        <v>0</v>
      </c>
      <c r="K116" s="33">
        <v>6634</v>
      </c>
      <c r="L116" s="33">
        <v>12077</v>
      </c>
      <c r="M116" s="33">
        <v>5273</v>
      </c>
      <c r="N116" s="33">
        <v>0</v>
      </c>
      <c r="O116" s="33">
        <v>80</v>
      </c>
      <c r="P116" s="33">
        <v>5353</v>
      </c>
      <c r="Q116" s="56">
        <v>0.6928858290304073</v>
      </c>
      <c r="R116" s="56">
        <v>0.50793206420306081</v>
      </c>
      <c r="S116" s="56" t="s">
        <v>41</v>
      </c>
      <c r="T116" s="56">
        <v>0.98808459934465298</v>
      </c>
      <c r="U116" s="116">
        <v>5487</v>
      </c>
      <c r="V116" s="116">
        <v>0</v>
      </c>
      <c r="W116" s="116">
        <v>0</v>
      </c>
      <c r="X116" s="116">
        <v>5487</v>
      </c>
      <c r="Y116" s="116">
        <v>327</v>
      </c>
      <c r="Z116" s="116">
        <v>5814</v>
      </c>
      <c r="AA116" s="116">
        <v>1206</v>
      </c>
      <c r="AB116" s="116">
        <v>757</v>
      </c>
      <c r="AC116" s="10" t="s">
        <v>83</v>
      </c>
    </row>
    <row r="117" spans="2:29" x14ac:dyDescent="0.15">
      <c r="B117" s="105" t="s">
        <v>451</v>
      </c>
      <c r="C117" s="105" t="s">
        <v>869</v>
      </c>
      <c r="D117" s="32" t="s">
        <v>452</v>
      </c>
      <c r="E117" s="33">
        <v>10939</v>
      </c>
      <c r="F117" s="33">
        <v>0</v>
      </c>
      <c r="G117" s="33">
        <v>14435</v>
      </c>
      <c r="H117" s="33">
        <v>25374</v>
      </c>
      <c r="I117" s="33">
        <v>8595</v>
      </c>
      <c r="J117" s="33">
        <v>0</v>
      </c>
      <c r="K117" s="33">
        <v>14435</v>
      </c>
      <c r="L117" s="33">
        <v>23030</v>
      </c>
      <c r="M117" s="33">
        <v>2344</v>
      </c>
      <c r="N117" s="33">
        <v>0</v>
      </c>
      <c r="O117" s="33">
        <v>0</v>
      </c>
      <c r="P117" s="33">
        <v>2344</v>
      </c>
      <c r="Q117" s="56">
        <v>0.90762197525025612</v>
      </c>
      <c r="R117" s="56">
        <v>0.78572081543102656</v>
      </c>
      <c r="S117" s="56" t="s">
        <v>41</v>
      </c>
      <c r="T117" s="56">
        <v>1</v>
      </c>
      <c r="U117" s="116">
        <v>4445</v>
      </c>
      <c r="V117" s="116">
        <v>0</v>
      </c>
      <c r="W117" s="116">
        <v>9</v>
      </c>
      <c r="X117" s="116">
        <v>4454</v>
      </c>
      <c r="Y117" s="116">
        <v>526</v>
      </c>
      <c r="Z117" s="116">
        <v>4980</v>
      </c>
      <c r="AA117" s="116">
        <v>19</v>
      </c>
      <c r="AB117" s="116">
        <v>0</v>
      </c>
      <c r="AC117" s="10" t="s">
        <v>61</v>
      </c>
    </row>
    <row r="118" spans="2:29" x14ac:dyDescent="0.15">
      <c r="B118" s="105" t="s">
        <v>524</v>
      </c>
      <c r="C118" s="105" t="s">
        <v>869</v>
      </c>
      <c r="D118" s="32" t="s">
        <v>735</v>
      </c>
      <c r="E118" s="33">
        <v>4643</v>
      </c>
      <c r="F118" s="33">
        <v>0</v>
      </c>
      <c r="G118" s="33">
        <v>364</v>
      </c>
      <c r="H118" s="33">
        <v>5007</v>
      </c>
      <c r="I118" s="33">
        <v>4160</v>
      </c>
      <c r="J118" s="33">
        <v>0</v>
      </c>
      <c r="K118" s="33">
        <v>361</v>
      </c>
      <c r="L118" s="33">
        <v>4521</v>
      </c>
      <c r="M118" s="33">
        <v>483</v>
      </c>
      <c r="N118" s="33">
        <v>0</v>
      </c>
      <c r="O118" s="33">
        <v>3</v>
      </c>
      <c r="P118" s="33">
        <v>486</v>
      </c>
      <c r="Q118" s="56">
        <v>0.90293588975434391</v>
      </c>
      <c r="R118" s="56">
        <v>0.89597243161748874</v>
      </c>
      <c r="S118" s="56" t="s">
        <v>41</v>
      </c>
      <c r="T118" s="56">
        <v>0.99175824175824179</v>
      </c>
      <c r="U118" s="116">
        <v>999</v>
      </c>
      <c r="V118" s="116">
        <v>0</v>
      </c>
      <c r="W118" s="116">
        <v>0</v>
      </c>
      <c r="X118" s="116">
        <v>999</v>
      </c>
      <c r="Y118" s="116">
        <v>95</v>
      </c>
      <c r="Z118" s="116">
        <v>1094</v>
      </c>
      <c r="AA118" s="116">
        <v>18</v>
      </c>
      <c r="AB118" s="116">
        <v>0</v>
      </c>
      <c r="AC118" s="10" t="s">
        <v>113</v>
      </c>
    </row>
    <row r="119" spans="2:29" x14ac:dyDescent="0.15">
      <c r="B119" s="105" t="s">
        <v>525</v>
      </c>
      <c r="C119" s="105" t="s">
        <v>869</v>
      </c>
      <c r="D119" s="32" t="s">
        <v>526</v>
      </c>
      <c r="E119" s="33">
        <v>9334</v>
      </c>
      <c r="F119" s="33">
        <v>1395</v>
      </c>
      <c r="G119" s="33">
        <v>8121</v>
      </c>
      <c r="H119" s="33">
        <v>18850</v>
      </c>
      <c r="I119" s="33">
        <v>4463</v>
      </c>
      <c r="J119" s="33">
        <v>1329</v>
      </c>
      <c r="K119" s="33">
        <v>7757</v>
      </c>
      <c r="L119" s="33">
        <v>13549</v>
      </c>
      <c r="M119" s="33">
        <v>4871</v>
      </c>
      <c r="N119" s="33">
        <v>66</v>
      </c>
      <c r="O119" s="33">
        <v>364</v>
      </c>
      <c r="P119" s="33">
        <v>5301</v>
      </c>
      <c r="Q119" s="56">
        <v>0.71877984084880642</v>
      </c>
      <c r="R119" s="56">
        <v>0.47814441825583887</v>
      </c>
      <c r="S119" s="56">
        <v>0.95268817204301071</v>
      </c>
      <c r="T119" s="56">
        <v>0.955177933752001</v>
      </c>
      <c r="U119" s="116">
        <v>2860</v>
      </c>
      <c r="V119" s="116">
        <v>0</v>
      </c>
      <c r="W119" s="116">
        <v>0</v>
      </c>
      <c r="X119" s="116">
        <v>2860</v>
      </c>
      <c r="Y119" s="116">
        <v>3425</v>
      </c>
      <c r="Z119" s="116">
        <v>6285</v>
      </c>
      <c r="AA119" s="116">
        <v>915</v>
      </c>
      <c r="AB119" s="116">
        <v>8</v>
      </c>
      <c r="AC119" s="10" t="s">
        <v>113</v>
      </c>
    </row>
    <row r="120" spans="2:29" x14ac:dyDescent="0.15">
      <c r="B120" s="105" t="s">
        <v>453</v>
      </c>
      <c r="C120" s="105" t="s">
        <v>869</v>
      </c>
      <c r="D120" s="32" t="s">
        <v>454</v>
      </c>
      <c r="E120" s="33">
        <v>7575</v>
      </c>
      <c r="F120" s="33">
        <v>0</v>
      </c>
      <c r="G120" s="33">
        <v>11372</v>
      </c>
      <c r="H120" s="33">
        <v>18947</v>
      </c>
      <c r="I120" s="33">
        <v>3623</v>
      </c>
      <c r="J120" s="33">
        <v>0</v>
      </c>
      <c r="K120" s="33">
        <v>11011</v>
      </c>
      <c r="L120" s="33">
        <v>14634</v>
      </c>
      <c r="M120" s="33">
        <v>3952</v>
      </c>
      <c r="N120" s="33">
        <v>0</v>
      </c>
      <c r="O120" s="33">
        <v>361</v>
      </c>
      <c r="P120" s="33">
        <v>4313</v>
      </c>
      <c r="Q120" s="56">
        <v>0.77236501820868741</v>
      </c>
      <c r="R120" s="56">
        <v>0.47828382838283828</v>
      </c>
      <c r="S120" s="56" t="s">
        <v>41</v>
      </c>
      <c r="T120" s="56">
        <v>0.9682553640520577</v>
      </c>
      <c r="U120" s="116">
        <v>2396</v>
      </c>
      <c r="V120" s="116">
        <v>0</v>
      </c>
      <c r="W120" s="116">
        <v>204</v>
      </c>
      <c r="X120" s="116">
        <v>2600</v>
      </c>
      <c r="Y120" s="116">
        <v>2405</v>
      </c>
      <c r="Z120" s="116">
        <v>5005</v>
      </c>
      <c r="AA120" s="116">
        <v>289</v>
      </c>
      <c r="AB120" s="116">
        <v>18</v>
      </c>
      <c r="AC120" s="10" t="s">
        <v>61</v>
      </c>
    </row>
    <row r="121" spans="2:29" x14ac:dyDescent="0.15">
      <c r="B121" s="105" t="s">
        <v>455</v>
      </c>
      <c r="C121" s="105" t="s">
        <v>869</v>
      </c>
      <c r="D121" s="32" t="s">
        <v>827</v>
      </c>
      <c r="E121" s="33">
        <v>12593</v>
      </c>
      <c r="F121" s="33">
        <v>1465</v>
      </c>
      <c r="G121" s="33">
        <v>7491</v>
      </c>
      <c r="H121" s="33">
        <v>21549</v>
      </c>
      <c r="I121" s="33">
        <v>7475</v>
      </c>
      <c r="J121" s="33">
        <v>1424</v>
      </c>
      <c r="K121" s="33">
        <v>7201</v>
      </c>
      <c r="L121" s="33">
        <v>16100</v>
      </c>
      <c r="M121" s="33">
        <v>5118</v>
      </c>
      <c r="N121" s="33">
        <v>41</v>
      </c>
      <c r="O121" s="33">
        <v>290</v>
      </c>
      <c r="P121" s="33">
        <v>5449</v>
      </c>
      <c r="Q121" s="56">
        <v>0.74713443779293698</v>
      </c>
      <c r="R121" s="56">
        <v>0.59358373699674427</v>
      </c>
      <c r="S121" s="56">
        <v>0.97201365187713307</v>
      </c>
      <c r="T121" s="56">
        <v>0.96128687758643705</v>
      </c>
      <c r="U121" s="116">
        <v>4946</v>
      </c>
      <c r="V121" s="116">
        <v>21</v>
      </c>
      <c r="W121" s="116">
        <v>0</v>
      </c>
      <c r="X121" s="116">
        <v>4967</v>
      </c>
      <c r="Y121" s="116">
        <v>1326</v>
      </c>
      <c r="Z121" s="116">
        <v>6293</v>
      </c>
      <c r="AA121" s="116">
        <v>425</v>
      </c>
      <c r="AB121" s="116">
        <v>2</v>
      </c>
      <c r="AC121" s="10" t="s">
        <v>61</v>
      </c>
    </row>
    <row r="122" spans="2:29" x14ac:dyDescent="0.15">
      <c r="B122" s="105" t="s">
        <v>547</v>
      </c>
      <c r="C122" s="105" t="s">
        <v>869</v>
      </c>
      <c r="D122" s="32" t="s">
        <v>862</v>
      </c>
      <c r="E122" s="33">
        <v>0</v>
      </c>
      <c r="F122" s="33">
        <v>0</v>
      </c>
      <c r="G122" s="33">
        <v>0</v>
      </c>
      <c r="H122" s="33">
        <v>0</v>
      </c>
      <c r="I122" s="33">
        <v>0</v>
      </c>
      <c r="J122" s="33">
        <v>0</v>
      </c>
      <c r="K122" s="33">
        <v>0</v>
      </c>
      <c r="L122" s="33">
        <v>0</v>
      </c>
      <c r="M122" s="33">
        <v>0</v>
      </c>
      <c r="N122" s="33">
        <v>0</v>
      </c>
      <c r="O122" s="33">
        <v>0</v>
      </c>
      <c r="P122" s="33">
        <v>0</v>
      </c>
      <c r="Q122" s="56" t="s">
        <v>41</v>
      </c>
      <c r="R122" s="56" t="s">
        <v>41</v>
      </c>
      <c r="S122" s="56" t="s">
        <v>41</v>
      </c>
      <c r="T122" s="56" t="s">
        <v>41</v>
      </c>
      <c r="U122" s="116">
        <v>0</v>
      </c>
      <c r="V122" s="116">
        <v>0</v>
      </c>
      <c r="W122" s="116">
        <v>0</v>
      </c>
      <c r="X122" s="116">
        <v>0</v>
      </c>
      <c r="Y122" s="116">
        <v>126</v>
      </c>
      <c r="Z122" s="116">
        <v>126</v>
      </c>
      <c r="AA122" s="116">
        <v>0</v>
      </c>
      <c r="AB122" s="116">
        <v>0</v>
      </c>
      <c r="AC122" s="10" t="s">
        <v>125</v>
      </c>
    </row>
    <row r="123" spans="2:29" x14ac:dyDescent="0.15">
      <c r="B123" s="105" t="s">
        <v>459</v>
      </c>
      <c r="C123" s="105" t="s">
        <v>869</v>
      </c>
      <c r="D123" s="32" t="s">
        <v>460</v>
      </c>
      <c r="E123" s="33">
        <v>12694</v>
      </c>
      <c r="F123" s="33">
        <v>1862</v>
      </c>
      <c r="G123" s="33">
        <v>10291</v>
      </c>
      <c r="H123" s="33">
        <v>24847</v>
      </c>
      <c r="I123" s="33">
        <v>7125</v>
      </c>
      <c r="J123" s="33">
        <v>1759</v>
      </c>
      <c r="K123" s="33">
        <v>10052</v>
      </c>
      <c r="L123" s="33">
        <v>18936</v>
      </c>
      <c r="M123" s="33">
        <v>5569</v>
      </c>
      <c r="N123" s="33">
        <v>103</v>
      </c>
      <c r="O123" s="33">
        <v>239</v>
      </c>
      <c r="P123" s="33">
        <v>5911</v>
      </c>
      <c r="Q123" s="56">
        <v>0.76210407695093974</v>
      </c>
      <c r="R123" s="56">
        <v>0.56128879785725538</v>
      </c>
      <c r="S123" s="56">
        <v>0.94468313641245971</v>
      </c>
      <c r="T123" s="56">
        <v>0.97677582353512782</v>
      </c>
      <c r="U123" s="116">
        <v>3903</v>
      </c>
      <c r="V123" s="116">
        <v>23</v>
      </c>
      <c r="W123" s="116">
        <v>0</v>
      </c>
      <c r="X123" s="116">
        <v>3926</v>
      </c>
      <c r="Y123" s="116">
        <v>3153</v>
      </c>
      <c r="Z123" s="116">
        <v>7079</v>
      </c>
      <c r="AA123" s="116">
        <v>378</v>
      </c>
      <c r="AB123" s="116">
        <v>17</v>
      </c>
      <c r="AC123" s="10" t="s">
        <v>61</v>
      </c>
    </row>
    <row r="124" spans="2:29" x14ac:dyDescent="0.15">
      <c r="B124" s="105" t="s">
        <v>527</v>
      </c>
      <c r="C124" s="105" t="s">
        <v>869</v>
      </c>
      <c r="D124" s="32" t="s">
        <v>528</v>
      </c>
      <c r="E124" s="33">
        <v>10045</v>
      </c>
      <c r="F124" s="33">
        <v>0</v>
      </c>
      <c r="G124" s="33">
        <v>0</v>
      </c>
      <c r="H124" s="33">
        <v>10045</v>
      </c>
      <c r="I124" s="33">
        <v>6949</v>
      </c>
      <c r="J124" s="33">
        <v>0</v>
      </c>
      <c r="K124" s="33">
        <v>0</v>
      </c>
      <c r="L124" s="33">
        <v>6949</v>
      </c>
      <c r="M124" s="33">
        <v>3096</v>
      </c>
      <c r="N124" s="33">
        <v>0</v>
      </c>
      <c r="O124" s="33">
        <v>0</v>
      </c>
      <c r="P124" s="33">
        <v>3096</v>
      </c>
      <c r="Q124" s="56">
        <v>0.69178695868591344</v>
      </c>
      <c r="R124" s="56">
        <v>0.69178695868591344</v>
      </c>
      <c r="S124" s="56" t="s">
        <v>41</v>
      </c>
      <c r="T124" s="56" t="s">
        <v>41</v>
      </c>
      <c r="U124" s="116">
        <v>1990</v>
      </c>
      <c r="V124" s="116">
        <v>0</v>
      </c>
      <c r="W124" s="116">
        <v>0</v>
      </c>
      <c r="X124" s="116">
        <v>1990</v>
      </c>
      <c r="Y124" s="116">
        <v>523</v>
      </c>
      <c r="Z124" s="116">
        <v>2513</v>
      </c>
      <c r="AA124" s="116">
        <v>708</v>
      </c>
      <c r="AB124" s="116">
        <v>17</v>
      </c>
      <c r="AC124" s="10" t="s">
        <v>113</v>
      </c>
    </row>
    <row r="125" spans="2:29" x14ac:dyDescent="0.15">
      <c r="B125" s="105" t="s">
        <v>461</v>
      </c>
      <c r="C125" s="105" t="s">
        <v>869</v>
      </c>
      <c r="D125" s="32" t="s">
        <v>462</v>
      </c>
      <c r="E125" s="33">
        <v>0</v>
      </c>
      <c r="F125" s="33">
        <v>0</v>
      </c>
      <c r="G125" s="33">
        <v>492</v>
      </c>
      <c r="H125" s="33">
        <v>492</v>
      </c>
      <c r="I125" s="33">
        <v>0</v>
      </c>
      <c r="J125" s="33">
        <v>0</v>
      </c>
      <c r="K125" s="33">
        <v>492</v>
      </c>
      <c r="L125" s="33">
        <v>492</v>
      </c>
      <c r="M125" s="33">
        <v>0</v>
      </c>
      <c r="N125" s="33">
        <v>0</v>
      </c>
      <c r="O125" s="33">
        <v>0</v>
      </c>
      <c r="P125" s="33">
        <v>0</v>
      </c>
      <c r="Q125" s="56">
        <v>1</v>
      </c>
      <c r="R125" s="56" t="s">
        <v>41</v>
      </c>
      <c r="S125" s="56" t="s">
        <v>41</v>
      </c>
      <c r="T125" s="56">
        <v>1</v>
      </c>
      <c r="U125" s="116">
        <v>0</v>
      </c>
      <c r="V125" s="116">
        <v>0</v>
      </c>
      <c r="W125" s="116">
        <v>0</v>
      </c>
      <c r="X125" s="116">
        <v>0</v>
      </c>
      <c r="Y125" s="116">
        <v>0</v>
      </c>
      <c r="Z125" s="116">
        <v>0</v>
      </c>
      <c r="AA125" s="116">
        <v>0</v>
      </c>
      <c r="AB125" s="116">
        <v>0</v>
      </c>
      <c r="AC125" s="10" t="s">
        <v>61</v>
      </c>
    </row>
    <row r="126" spans="2:29" x14ac:dyDescent="0.15">
      <c r="B126" s="105" t="s">
        <v>519</v>
      </c>
      <c r="C126" s="105" t="s">
        <v>869</v>
      </c>
      <c r="D126" s="32" t="s">
        <v>520</v>
      </c>
      <c r="E126" s="33">
        <v>12536</v>
      </c>
      <c r="F126" s="33">
        <v>34</v>
      </c>
      <c r="G126" s="33">
        <v>5759</v>
      </c>
      <c r="H126" s="33">
        <v>18329</v>
      </c>
      <c r="I126" s="33">
        <v>6049</v>
      </c>
      <c r="J126" s="33">
        <v>34</v>
      </c>
      <c r="K126" s="33">
        <v>5245</v>
      </c>
      <c r="L126" s="33">
        <v>11328</v>
      </c>
      <c r="M126" s="33">
        <v>6487</v>
      </c>
      <c r="N126" s="33">
        <v>0</v>
      </c>
      <c r="O126" s="33">
        <v>514</v>
      </c>
      <c r="P126" s="33">
        <v>7001</v>
      </c>
      <c r="Q126" s="56">
        <v>0.61803699056140537</v>
      </c>
      <c r="R126" s="56">
        <v>0.48253031269942565</v>
      </c>
      <c r="S126" s="56">
        <v>1</v>
      </c>
      <c r="T126" s="56">
        <v>0.91074839381837125</v>
      </c>
      <c r="U126" s="116">
        <v>3368</v>
      </c>
      <c r="V126" s="116">
        <v>0</v>
      </c>
      <c r="W126" s="116">
        <v>0</v>
      </c>
      <c r="X126" s="116">
        <v>3368</v>
      </c>
      <c r="Y126" s="116">
        <v>749</v>
      </c>
      <c r="Z126" s="116">
        <v>4117</v>
      </c>
      <c r="AA126" s="116">
        <v>1094</v>
      </c>
      <c r="AB126" s="116">
        <v>315</v>
      </c>
      <c r="AC126" s="10" t="s">
        <v>83</v>
      </c>
    </row>
    <row r="127" spans="2:29" x14ac:dyDescent="0.15">
      <c r="B127" s="105" t="s">
        <v>416</v>
      </c>
      <c r="C127" s="105" t="s">
        <v>873</v>
      </c>
      <c r="D127" s="32" t="s">
        <v>736</v>
      </c>
      <c r="E127" s="33">
        <v>6240</v>
      </c>
      <c r="F127" s="33">
        <v>0</v>
      </c>
      <c r="G127" s="33">
        <v>0</v>
      </c>
      <c r="H127" s="33">
        <v>6240</v>
      </c>
      <c r="I127" s="33">
        <v>5359</v>
      </c>
      <c r="J127" s="33">
        <v>0</v>
      </c>
      <c r="K127" s="33">
        <v>0</v>
      </c>
      <c r="L127" s="33">
        <v>5359</v>
      </c>
      <c r="M127" s="33">
        <v>881</v>
      </c>
      <c r="N127" s="33">
        <v>0</v>
      </c>
      <c r="O127" s="33">
        <v>0</v>
      </c>
      <c r="P127" s="33">
        <v>881</v>
      </c>
      <c r="Q127" s="56">
        <v>0.85881410256410251</v>
      </c>
      <c r="R127" s="56">
        <v>0.85881410256410251</v>
      </c>
      <c r="S127" s="56" t="s">
        <v>41</v>
      </c>
      <c r="T127" s="56" t="s">
        <v>41</v>
      </c>
      <c r="U127" s="116">
        <v>965</v>
      </c>
      <c r="V127" s="116">
        <v>0</v>
      </c>
      <c r="W127" s="116">
        <v>0</v>
      </c>
      <c r="X127" s="116">
        <v>965</v>
      </c>
      <c r="Y127" s="116">
        <v>226</v>
      </c>
      <c r="Z127" s="116">
        <v>1191</v>
      </c>
      <c r="AA127" s="116">
        <v>3</v>
      </c>
      <c r="AB127" s="116">
        <v>0</v>
      </c>
      <c r="AC127" s="10" t="s">
        <v>55</v>
      </c>
    </row>
    <row r="128" spans="2:29" x14ac:dyDescent="0.15">
      <c r="B128" s="105" t="s">
        <v>485</v>
      </c>
      <c r="C128" s="105" t="s">
        <v>873</v>
      </c>
      <c r="D128" s="32" t="s">
        <v>486</v>
      </c>
      <c r="E128" s="33">
        <v>9133</v>
      </c>
      <c r="F128" s="33">
        <v>0</v>
      </c>
      <c r="G128" s="33">
        <v>10139</v>
      </c>
      <c r="H128" s="33">
        <v>19272</v>
      </c>
      <c r="I128" s="33">
        <v>4619</v>
      </c>
      <c r="J128" s="33">
        <v>0</v>
      </c>
      <c r="K128" s="33">
        <v>10023</v>
      </c>
      <c r="L128" s="33">
        <v>14642</v>
      </c>
      <c r="M128" s="33">
        <v>4514</v>
      </c>
      <c r="N128" s="33">
        <v>0</v>
      </c>
      <c r="O128" s="33">
        <v>116</v>
      </c>
      <c r="P128" s="33">
        <v>4630</v>
      </c>
      <c r="Q128" s="56">
        <v>0.75975508509755085</v>
      </c>
      <c r="R128" s="56">
        <v>0.50574838497755392</v>
      </c>
      <c r="S128" s="56" t="s">
        <v>41</v>
      </c>
      <c r="T128" s="56">
        <v>0.98855902949008778</v>
      </c>
      <c r="U128" s="116">
        <v>1802</v>
      </c>
      <c r="V128" s="116">
        <v>0</v>
      </c>
      <c r="W128" s="116">
        <v>0</v>
      </c>
      <c r="X128" s="116">
        <v>1802</v>
      </c>
      <c r="Y128" s="116">
        <v>2433</v>
      </c>
      <c r="Z128" s="116">
        <v>4235</v>
      </c>
      <c r="AA128" s="116">
        <v>912</v>
      </c>
      <c r="AB128" s="116">
        <v>505</v>
      </c>
      <c r="AC128" s="10" t="s">
        <v>77</v>
      </c>
    </row>
    <row r="129" spans="2:29" x14ac:dyDescent="0.15">
      <c r="B129" s="105" t="s">
        <v>463</v>
      </c>
      <c r="C129" s="105" t="s">
        <v>873</v>
      </c>
      <c r="D129" s="32" t="s">
        <v>464</v>
      </c>
      <c r="E129" s="33">
        <v>8873</v>
      </c>
      <c r="F129" s="33">
        <v>0</v>
      </c>
      <c r="G129" s="33">
        <v>3726</v>
      </c>
      <c r="H129" s="33">
        <v>12599</v>
      </c>
      <c r="I129" s="33">
        <v>4554</v>
      </c>
      <c r="J129" s="33">
        <v>0</v>
      </c>
      <c r="K129" s="33">
        <v>3426</v>
      </c>
      <c r="L129" s="33">
        <v>7980</v>
      </c>
      <c r="M129" s="33">
        <v>4319</v>
      </c>
      <c r="N129" s="33">
        <v>0</v>
      </c>
      <c r="O129" s="33">
        <v>300</v>
      </c>
      <c r="P129" s="33">
        <v>4619</v>
      </c>
      <c r="Q129" s="56">
        <v>0.63338360187316456</v>
      </c>
      <c r="R129" s="56">
        <v>0.51324242082722871</v>
      </c>
      <c r="S129" s="56" t="s">
        <v>41</v>
      </c>
      <c r="T129" s="56">
        <v>0.91948470209339772</v>
      </c>
      <c r="U129" s="116">
        <v>2428</v>
      </c>
      <c r="V129" s="116">
        <v>0</v>
      </c>
      <c r="W129" s="116">
        <v>156</v>
      </c>
      <c r="X129" s="116">
        <v>2584</v>
      </c>
      <c r="Y129" s="116">
        <v>705</v>
      </c>
      <c r="Z129" s="116">
        <v>3289</v>
      </c>
      <c r="AA129" s="116">
        <v>1015</v>
      </c>
      <c r="AB129" s="116">
        <v>580</v>
      </c>
      <c r="AC129" s="10" t="s">
        <v>73</v>
      </c>
    </row>
    <row r="130" spans="2:29" x14ac:dyDescent="0.15">
      <c r="B130" s="105" t="s">
        <v>417</v>
      </c>
      <c r="C130" s="105" t="s">
        <v>873</v>
      </c>
      <c r="D130" s="32" t="s">
        <v>737</v>
      </c>
      <c r="E130" s="33">
        <v>5968</v>
      </c>
      <c r="F130" s="33">
        <v>0</v>
      </c>
      <c r="G130" s="33">
        <v>2708</v>
      </c>
      <c r="H130" s="33">
        <v>8676</v>
      </c>
      <c r="I130" s="33">
        <v>3004</v>
      </c>
      <c r="J130" s="33">
        <v>0</v>
      </c>
      <c r="K130" s="33">
        <v>2362</v>
      </c>
      <c r="L130" s="33">
        <v>5366</v>
      </c>
      <c r="M130" s="33">
        <v>2964</v>
      </c>
      <c r="N130" s="33">
        <v>0</v>
      </c>
      <c r="O130" s="33">
        <v>346</v>
      </c>
      <c r="P130" s="33">
        <v>3310</v>
      </c>
      <c r="Q130" s="56">
        <v>0.61848778238819735</v>
      </c>
      <c r="R130" s="56">
        <v>0.5033512064343163</v>
      </c>
      <c r="S130" s="56" t="s">
        <v>41</v>
      </c>
      <c r="T130" s="56">
        <v>0.87223042836041353</v>
      </c>
      <c r="U130" s="116">
        <v>1913</v>
      </c>
      <c r="V130" s="116">
        <v>0</v>
      </c>
      <c r="W130" s="116">
        <v>0</v>
      </c>
      <c r="X130" s="116">
        <v>1913</v>
      </c>
      <c r="Y130" s="116">
        <v>1249</v>
      </c>
      <c r="Z130" s="116">
        <v>3162</v>
      </c>
      <c r="AA130" s="116">
        <v>1057</v>
      </c>
      <c r="AB130" s="116">
        <v>768</v>
      </c>
      <c r="AC130" s="10" t="s">
        <v>55</v>
      </c>
    </row>
    <row r="131" spans="2:29" x14ac:dyDescent="0.15">
      <c r="B131" s="105" t="s">
        <v>418</v>
      </c>
      <c r="C131" s="105" t="s">
        <v>873</v>
      </c>
      <c r="D131" s="32" t="s">
        <v>419</v>
      </c>
      <c r="E131" s="33">
        <v>4753</v>
      </c>
      <c r="F131" s="33">
        <v>0</v>
      </c>
      <c r="G131" s="33">
        <v>58</v>
      </c>
      <c r="H131" s="33">
        <v>4811</v>
      </c>
      <c r="I131" s="33">
        <v>2340</v>
      </c>
      <c r="J131" s="33">
        <v>0</v>
      </c>
      <c r="K131" s="33">
        <v>58</v>
      </c>
      <c r="L131" s="33">
        <v>2398</v>
      </c>
      <c r="M131" s="33">
        <v>2413</v>
      </c>
      <c r="N131" s="33">
        <v>0</v>
      </c>
      <c r="O131" s="33">
        <v>0</v>
      </c>
      <c r="P131" s="33">
        <v>2413</v>
      </c>
      <c r="Q131" s="56">
        <v>0.49844107254209102</v>
      </c>
      <c r="R131" s="56">
        <v>0.49232063959604461</v>
      </c>
      <c r="S131" s="56" t="s">
        <v>41</v>
      </c>
      <c r="T131" s="56">
        <v>1</v>
      </c>
      <c r="U131" s="116">
        <v>854</v>
      </c>
      <c r="V131" s="116">
        <v>0</v>
      </c>
      <c r="W131" s="116">
        <v>0</v>
      </c>
      <c r="X131" s="116">
        <v>854</v>
      </c>
      <c r="Y131" s="116">
        <v>272</v>
      </c>
      <c r="Z131" s="116">
        <v>1126</v>
      </c>
      <c r="AA131" s="116">
        <v>664</v>
      </c>
      <c r="AB131" s="116">
        <v>490</v>
      </c>
      <c r="AC131" s="10" t="s">
        <v>55</v>
      </c>
    </row>
    <row r="132" spans="2:29" x14ac:dyDescent="0.15">
      <c r="B132" s="105" t="s">
        <v>487</v>
      </c>
      <c r="C132" s="105" t="s">
        <v>873</v>
      </c>
      <c r="D132" s="32" t="s">
        <v>488</v>
      </c>
      <c r="E132" s="33">
        <v>13927</v>
      </c>
      <c r="F132" s="33">
        <v>0</v>
      </c>
      <c r="G132" s="33">
        <v>11315</v>
      </c>
      <c r="H132" s="33">
        <v>25242</v>
      </c>
      <c r="I132" s="33">
        <v>8708</v>
      </c>
      <c r="J132" s="33">
        <v>0</v>
      </c>
      <c r="K132" s="33">
        <v>10380</v>
      </c>
      <c r="L132" s="33">
        <v>19088</v>
      </c>
      <c r="M132" s="33">
        <v>5219</v>
      </c>
      <c r="N132" s="33">
        <v>0</v>
      </c>
      <c r="O132" s="33">
        <v>935</v>
      </c>
      <c r="P132" s="33">
        <v>6154</v>
      </c>
      <c r="Q132" s="56">
        <v>0.75619998415339518</v>
      </c>
      <c r="R132" s="56">
        <v>0.62526028577583115</v>
      </c>
      <c r="S132" s="56" t="s">
        <v>41</v>
      </c>
      <c r="T132" s="56">
        <v>0.91736632788334072</v>
      </c>
      <c r="U132" s="116">
        <v>3971</v>
      </c>
      <c r="V132" s="116">
        <v>0</v>
      </c>
      <c r="W132" s="116">
        <v>103</v>
      </c>
      <c r="X132" s="116">
        <v>4074</v>
      </c>
      <c r="Y132" s="116">
        <v>2198</v>
      </c>
      <c r="Z132" s="116">
        <v>6272</v>
      </c>
      <c r="AA132" s="116">
        <v>1116</v>
      </c>
      <c r="AB132" s="116">
        <v>814</v>
      </c>
      <c r="AC132" s="10" t="s">
        <v>77</v>
      </c>
    </row>
    <row r="133" spans="2:29" x14ac:dyDescent="0.15">
      <c r="B133" s="105" t="s">
        <v>489</v>
      </c>
      <c r="C133" s="105" t="s">
        <v>873</v>
      </c>
      <c r="D133" s="32" t="s">
        <v>490</v>
      </c>
      <c r="E133" s="33">
        <v>13030</v>
      </c>
      <c r="F133" s="33">
        <v>0</v>
      </c>
      <c r="G133" s="33">
        <v>3385</v>
      </c>
      <c r="H133" s="33">
        <v>16415</v>
      </c>
      <c r="I133" s="33">
        <v>8827</v>
      </c>
      <c r="J133" s="33">
        <v>0</v>
      </c>
      <c r="K133" s="33">
        <v>3148</v>
      </c>
      <c r="L133" s="33">
        <v>11975</v>
      </c>
      <c r="M133" s="33">
        <v>4203</v>
      </c>
      <c r="N133" s="33">
        <v>0</v>
      </c>
      <c r="O133" s="33">
        <v>237</v>
      </c>
      <c r="P133" s="33">
        <v>4440</v>
      </c>
      <c r="Q133" s="56">
        <v>0.7295156868717636</v>
      </c>
      <c r="R133" s="56">
        <v>0.67743668457405981</v>
      </c>
      <c r="S133" s="56" t="s">
        <v>41</v>
      </c>
      <c r="T133" s="56">
        <v>0.92998522895125557</v>
      </c>
      <c r="U133" s="116">
        <v>3463</v>
      </c>
      <c r="V133" s="116">
        <v>0</v>
      </c>
      <c r="W133" s="116">
        <v>96</v>
      </c>
      <c r="X133" s="116">
        <v>3559</v>
      </c>
      <c r="Y133" s="116">
        <v>1283</v>
      </c>
      <c r="Z133" s="116">
        <v>4842</v>
      </c>
      <c r="AA133" s="116">
        <v>1288</v>
      </c>
      <c r="AB133" s="116">
        <v>425</v>
      </c>
      <c r="AC133" s="10" t="s">
        <v>77</v>
      </c>
    </row>
    <row r="134" spans="2:29" x14ac:dyDescent="0.15">
      <c r="B134" s="105" t="s">
        <v>422</v>
      </c>
      <c r="C134" s="105" t="s">
        <v>873</v>
      </c>
      <c r="D134" s="32" t="s">
        <v>822</v>
      </c>
      <c r="E134" s="33">
        <v>0</v>
      </c>
      <c r="F134" s="33">
        <v>0</v>
      </c>
      <c r="G134" s="33">
        <v>0</v>
      </c>
      <c r="H134" s="33">
        <v>0</v>
      </c>
      <c r="I134" s="33">
        <v>0</v>
      </c>
      <c r="J134" s="33">
        <v>0</v>
      </c>
      <c r="K134" s="33">
        <v>0</v>
      </c>
      <c r="L134" s="33">
        <v>0</v>
      </c>
      <c r="M134" s="33">
        <v>0</v>
      </c>
      <c r="N134" s="33">
        <v>0</v>
      </c>
      <c r="O134" s="33">
        <v>0</v>
      </c>
      <c r="P134" s="33">
        <v>0</v>
      </c>
      <c r="Q134" s="56" t="s">
        <v>41</v>
      </c>
      <c r="R134" s="56" t="s">
        <v>41</v>
      </c>
      <c r="S134" s="56" t="s">
        <v>41</v>
      </c>
      <c r="T134" s="56" t="s">
        <v>41</v>
      </c>
      <c r="U134" s="116">
        <v>0</v>
      </c>
      <c r="V134" s="116">
        <v>0</v>
      </c>
      <c r="W134" s="116">
        <v>0</v>
      </c>
      <c r="X134" s="116">
        <v>0</v>
      </c>
      <c r="Y134" s="116">
        <v>112</v>
      </c>
      <c r="Z134" s="116">
        <v>112</v>
      </c>
      <c r="AA134" s="116">
        <v>0</v>
      </c>
      <c r="AB134" s="116">
        <v>0</v>
      </c>
      <c r="AC134" s="10" t="s">
        <v>55</v>
      </c>
    </row>
    <row r="135" spans="2:29" x14ac:dyDescent="0.15">
      <c r="B135" s="105" t="s">
        <v>429</v>
      </c>
      <c r="C135" s="105" t="s">
        <v>873</v>
      </c>
      <c r="D135" s="32" t="s">
        <v>430</v>
      </c>
      <c r="E135" s="33">
        <v>17475</v>
      </c>
      <c r="F135" s="33">
        <v>1989</v>
      </c>
      <c r="G135" s="33">
        <v>8689</v>
      </c>
      <c r="H135" s="33">
        <v>28153</v>
      </c>
      <c r="I135" s="33">
        <v>8384</v>
      </c>
      <c r="J135" s="33">
        <v>1974</v>
      </c>
      <c r="K135" s="33">
        <v>8407</v>
      </c>
      <c r="L135" s="33">
        <v>18765</v>
      </c>
      <c r="M135" s="33">
        <v>9091</v>
      </c>
      <c r="N135" s="33">
        <v>15</v>
      </c>
      <c r="O135" s="33">
        <v>282</v>
      </c>
      <c r="P135" s="33">
        <v>9388</v>
      </c>
      <c r="Q135" s="56">
        <v>0.66653642595815721</v>
      </c>
      <c r="R135" s="56">
        <v>0.47977110157367669</v>
      </c>
      <c r="S135" s="56">
        <v>0.9924585218702866</v>
      </c>
      <c r="T135" s="56">
        <v>0.96754517205662327</v>
      </c>
      <c r="U135" s="116">
        <v>4766</v>
      </c>
      <c r="V135" s="116">
        <v>128</v>
      </c>
      <c r="W135" s="116">
        <v>0</v>
      </c>
      <c r="X135" s="116">
        <v>4894</v>
      </c>
      <c r="Y135" s="116">
        <v>2461</v>
      </c>
      <c r="Z135" s="116">
        <v>7355</v>
      </c>
      <c r="AA135" s="116">
        <v>1924</v>
      </c>
      <c r="AB135" s="116">
        <v>1125</v>
      </c>
      <c r="AC135" s="10" t="s">
        <v>55</v>
      </c>
    </row>
    <row r="136" spans="2:29" x14ac:dyDescent="0.15">
      <c r="B136" s="105" t="s">
        <v>423</v>
      </c>
      <c r="C136" s="105" t="s">
        <v>873</v>
      </c>
      <c r="D136" s="32" t="s">
        <v>738</v>
      </c>
      <c r="E136" s="33">
        <v>0</v>
      </c>
      <c r="F136" s="33">
        <v>1654</v>
      </c>
      <c r="G136" s="33">
        <v>0</v>
      </c>
      <c r="H136" s="33">
        <v>1654</v>
      </c>
      <c r="I136" s="33">
        <v>0</v>
      </c>
      <c r="J136" s="33">
        <v>1466</v>
      </c>
      <c r="K136" s="33">
        <v>0</v>
      </c>
      <c r="L136" s="33">
        <v>1466</v>
      </c>
      <c r="M136" s="33">
        <v>0</v>
      </c>
      <c r="N136" s="33">
        <v>188</v>
      </c>
      <c r="O136" s="33">
        <v>0</v>
      </c>
      <c r="P136" s="33">
        <v>188</v>
      </c>
      <c r="Q136" s="56">
        <v>0.8863361547762999</v>
      </c>
      <c r="R136" s="56" t="s">
        <v>41</v>
      </c>
      <c r="S136" s="56">
        <v>0.8863361547762999</v>
      </c>
      <c r="T136" s="56" t="s">
        <v>41</v>
      </c>
      <c r="U136" s="116">
        <v>0</v>
      </c>
      <c r="V136" s="116">
        <v>126</v>
      </c>
      <c r="W136" s="116">
        <v>0</v>
      </c>
      <c r="X136" s="116">
        <v>126</v>
      </c>
      <c r="Y136" s="116">
        <v>12</v>
      </c>
      <c r="Z136" s="116">
        <v>138</v>
      </c>
      <c r="AA136" s="116">
        <v>0</v>
      </c>
      <c r="AB136" s="116">
        <v>0</v>
      </c>
      <c r="AC136" s="10" t="s">
        <v>55</v>
      </c>
    </row>
    <row r="137" spans="2:29" x14ac:dyDescent="0.15">
      <c r="B137" s="105" t="s">
        <v>469</v>
      </c>
      <c r="C137" s="105" t="s">
        <v>873</v>
      </c>
      <c r="D137" s="32" t="s">
        <v>470</v>
      </c>
      <c r="E137" s="33">
        <v>31246</v>
      </c>
      <c r="F137" s="33">
        <v>3914</v>
      </c>
      <c r="G137" s="33">
        <v>12346</v>
      </c>
      <c r="H137" s="33">
        <v>47506</v>
      </c>
      <c r="I137" s="33">
        <v>18513</v>
      </c>
      <c r="J137" s="33">
        <v>3566</v>
      </c>
      <c r="K137" s="33">
        <v>11967</v>
      </c>
      <c r="L137" s="33">
        <v>34046</v>
      </c>
      <c r="M137" s="33">
        <v>12733</v>
      </c>
      <c r="N137" s="33">
        <v>348</v>
      </c>
      <c r="O137" s="33">
        <v>379</v>
      </c>
      <c r="P137" s="33">
        <v>13460</v>
      </c>
      <c r="Q137" s="56">
        <v>0.71666736833242117</v>
      </c>
      <c r="R137" s="56">
        <v>0.59249183895538626</v>
      </c>
      <c r="S137" s="56">
        <v>0.91108840061318341</v>
      </c>
      <c r="T137" s="56">
        <v>0.96930179815324802</v>
      </c>
      <c r="U137" s="116">
        <v>5644</v>
      </c>
      <c r="V137" s="116">
        <v>110</v>
      </c>
      <c r="W137" s="116">
        <v>98</v>
      </c>
      <c r="X137" s="116">
        <v>5852</v>
      </c>
      <c r="Y137" s="116">
        <v>374</v>
      </c>
      <c r="Z137" s="116">
        <v>6226</v>
      </c>
      <c r="AA137" s="116">
        <v>3449</v>
      </c>
      <c r="AB137" s="116">
        <v>81</v>
      </c>
      <c r="AC137" s="10" t="s">
        <v>73</v>
      </c>
    </row>
    <row r="138" spans="2:29" x14ac:dyDescent="0.15">
      <c r="B138" s="105" t="s">
        <v>433</v>
      </c>
      <c r="C138" s="105" t="s">
        <v>873</v>
      </c>
      <c r="D138" s="32" t="s">
        <v>434</v>
      </c>
      <c r="E138" s="33">
        <v>18040</v>
      </c>
      <c r="F138" s="33">
        <v>0</v>
      </c>
      <c r="G138" s="33">
        <v>7335</v>
      </c>
      <c r="H138" s="33">
        <v>25375</v>
      </c>
      <c r="I138" s="33">
        <v>11330</v>
      </c>
      <c r="J138" s="33">
        <v>0</v>
      </c>
      <c r="K138" s="33">
        <v>7277</v>
      </c>
      <c r="L138" s="33">
        <v>18607</v>
      </c>
      <c r="M138" s="33">
        <v>6710</v>
      </c>
      <c r="N138" s="33">
        <v>0</v>
      </c>
      <c r="O138" s="33">
        <v>58</v>
      </c>
      <c r="P138" s="33">
        <v>6768</v>
      </c>
      <c r="Q138" s="56">
        <v>0.73328078817733988</v>
      </c>
      <c r="R138" s="56">
        <v>0.62804878048780488</v>
      </c>
      <c r="S138" s="56" t="s">
        <v>41</v>
      </c>
      <c r="T138" s="56">
        <v>0.99209270620313561</v>
      </c>
      <c r="U138" s="116">
        <v>8293</v>
      </c>
      <c r="V138" s="116">
        <v>0</v>
      </c>
      <c r="W138" s="116">
        <v>0</v>
      </c>
      <c r="X138" s="116">
        <v>8293</v>
      </c>
      <c r="Y138" s="116">
        <v>935</v>
      </c>
      <c r="Z138" s="116">
        <v>9228</v>
      </c>
      <c r="AA138" s="116">
        <v>1116</v>
      </c>
      <c r="AB138" s="116">
        <v>439</v>
      </c>
      <c r="AC138" s="10" t="s">
        <v>55</v>
      </c>
    </row>
    <row r="139" spans="2:29" x14ac:dyDescent="0.15">
      <c r="B139" s="105" t="s">
        <v>424</v>
      </c>
      <c r="C139" s="105" t="s">
        <v>873</v>
      </c>
      <c r="D139" s="32" t="s">
        <v>425</v>
      </c>
      <c r="E139" s="33">
        <v>0</v>
      </c>
      <c r="F139" s="33">
        <v>0</v>
      </c>
      <c r="G139" s="33">
        <v>14415</v>
      </c>
      <c r="H139" s="33">
        <v>14415</v>
      </c>
      <c r="I139" s="33">
        <v>0</v>
      </c>
      <c r="J139" s="33">
        <v>0</v>
      </c>
      <c r="K139" s="33">
        <v>14122</v>
      </c>
      <c r="L139" s="33">
        <v>14122</v>
      </c>
      <c r="M139" s="33">
        <v>0</v>
      </c>
      <c r="N139" s="33">
        <v>0</v>
      </c>
      <c r="O139" s="33">
        <v>293</v>
      </c>
      <c r="P139" s="33">
        <v>293</v>
      </c>
      <c r="Q139" s="56">
        <v>0.97967395074575092</v>
      </c>
      <c r="R139" s="56" t="s">
        <v>41</v>
      </c>
      <c r="S139" s="56" t="s">
        <v>41</v>
      </c>
      <c r="T139" s="56">
        <v>0.97967395074575092</v>
      </c>
      <c r="U139" s="116">
        <v>0</v>
      </c>
      <c r="V139" s="116">
        <v>0</v>
      </c>
      <c r="W139" s="116">
        <v>0</v>
      </c>
      <c r="X139" s="116">
        <v>0</v>
      </c>
      <c r="Y139" s="116">
        <v>63</v>
      </c>
      <c r="Z139" s="116">
        <v>63</v>
      </c>
      <c r="AA139" s="116">
        <v>0</v>
      </c>
      <c r="AB139" s="116">
        <v>0</v>
      </c>
      <c r="AC139" s="10" t="s">
        <v>55</v>
      </c>
    </row>
    <row r="140" spans="2:29" x14ac:dyDescent="0.15">
      <c r="B140" s="105" t="s">
        <v>426</v>
      </c>
      <c r="C140" s="105" t="s">
        <v>873</v>
      </c>
      <c r="D140" s="32" t="s">
        <v>427</v>
      </c>
      <c r="E140" s="33">
        <v>7353</v>
      </c>
      <c r="F140" s="33">
        <v>0</v>
      </c>
      <c r="G140" s="33">
        <v>3319</v>
      </c>
      <c r="H140" s="33">
        <v>10672</v>
      </c>
      <c r="I140" s="33">
        <v>3657</v>
      </c>
      <c r="J140" s="33">
        <v>0</v>
      </c>
      <c r="K140" s="33">
        <v>3297</v>
      </c>
      <c r="L140" s="33">
        <v>6954</v>
      </c>
      <c r="M140" s="33">
        <v>3696</v>
      </c>
      <c r="N140" s="33">
        <v>0</v>
      </c>
      <c r="O140" s="33">
        <v>22</v>
      </c>
      <c r="P140" s="33">
        <v>3718</v>
      </c>
      <c r="Q140" s="56">
        <v>0.65161169415292353</v>
      </c>
      <c r="R140" s="56">
        <v>0.49734802121583027</v>
      </c>
      <c r="S140" s="56" t="s">
        <v>41</v>
      </c>
      <c r="T140" s="56">
        <v>0.99337149743898767</v>
      </c>
      <c r="U140" s="116">
        <v>2625</v>
      </c>
      <c r="V140" s="116">
        <v>0</v>
      </c>
      <c r="W140" s="116">
        <v>0</v>
      </c>
      <c r="X140" s="116">
        <v>2625</v>
      </c>
      <c r="Y140" s="116">
        <v>792</v>
      </c>
      <c r="Z140" s="116">
        <v>3417</v>
      </c>
      <c r="AA140" s="116">
        <v>1103</v>
      </c>
      <c r="AB140" s="116">
        <v>607</v>
      </c>
      <c r="AC140" s="10" t="s">
        <v>55</v>
      </c>
    </row>
    <row r="141" spans="2:29" x14ac:dyDescent="0.15">
      <c r="B141" s="105" t="s">
        <v>428</v>
      </c>
      <c r="C141" s="105" t="s">
        <v>873</v>
      </c>
      <c r="D141" s="32" t="s">
        <v>823</v>
      </c>
      <c r="E141" s="33">
        <v>0</v>
      </c>
      <c r="F141" s="33">
        <v>0</v>
      </c>
      <c r="G141" s="33">
        <v>1662</v>
      </c>
      <c r="H141" s="33">
        <v>1662</v>
      </c>
      <c r="I141" s="33">
        <v>0</v>
      </c>
      <c r="J141" s="33">
        <v>0</v>
      </c>
      <c r="K141" s="33">
        <v>1662</v>
      </c>
      <c r="L141" s="33">
        <v>1662</v>
      </c>
      <c r="M141" s="33">
        <v>0</v>
      </c>
      <c r="N141" s="33">
        <v>0</v>
      </c>
      <c r="O141" s="33">
        <v>0</v>
      </c>
      <c r="P141" s="33">
        <v>0</v>
      </c>
      <c r="Q141" s="56">
        <v>1</v>
      </c>
      <c r="R141" s="56" t="s">
        <v>41</v>
      </c>
      <c r="S141" s="56" t="s">
        <v>41</v>
      </c>
      <c r="T141" s="56">
        <v>1</v>
      </c>
      <c r="U141" s="116">
        <v>0</v>
      </c>
      <c r="V141" s="116">
        <v>0</v>
      </c>
      <c r="W141" s="116">
        <v>0</v>
      </c>
      <c r="X141" s="116">
        <v>0</v>
      </c>
      <c r="Y141" s="116">
        <v>0</v>
      </c>
      <c r="Z141" s="116">
        <v>0</v>
      </c>
      <c r="AA141" s="116">
        <v>0</v>
      </c>
      <c r="AB141" s="116">
        <v>0</v>
      </c>
      <c r="AC141" s="10" t="s">
        <v>55</v>
      </c>
    </row>
    <row r="142" spans="2:29" x14ac:dyDescent="0.15">
      <c r="B142" s="105" t="s">
        <v>437</v>
      </c>
      <c r="C142" s="105" t="s">
        <v>873</v>
      </c>
      <c r="D142" s="32" t="s">
        <v>866</v>
      </c>
      <c r="E142" s="33">
        <v>7511</v>
      </c>
      <c r="F142" s="33">
        <v>0</v>
      </c>
      <c r="G142" s="33">
        <v>6530</v>
      </c>
      <c r="H142" s="33">
        <v>14041</v>
      </c>
      <c r="I142" s="33">
        <v>4125</v>
      </c>
      <c r="J142" s="33">
        <v>0</v>
      </c>
      <c r="K142" s="33">
        <v>6429</v>
      </c>
      <c r="L142" s="33">
        <v>10554</v>
      </c>
      <c r="M142" s="33">
        <v>3386</v>
      </c>
      <c r="N142" s="33">
        <v>0</v>
      </c>
      <c r="O142" s="33">
        <v>101</v>
      </c>
      <c r="P142" s="33">
        <v>3487</v>
      </c>
      <c r="Q142" s="56">
        <v>0.75165586496688275</v>
      </c>
      <c r="R142" s="56">
        <v>0.54919451471175607</v>
      </c>
      <c r="S142" s="56" t="s">
        <v>41</v>
      </c>
      <c r="T142" s="56">
        <v>0.98453292496171518</v>
      </c>
      <c r="U142" s="116">
        <v>1706</v>
      </c>
      <c r="V142" s="116">
        <v>0</v>
      </c>
      <c r="W142" s="116">
        <v>0</v>
      </c>
      <c r="X142" s="116">
        <v>1706</v>
      </c>
      <c r="Y142" s="116">
        <v>140</v>
      </c>
      <c r="Z142" s="116">
        <v>1846</v>
      </c>
      <c r="AA142" s="116">
        <v>1323</v>
      </c>
      <c r="AB142" s="116">
        <v>856</v>
      </c>
      <c r="AC142" s="10" t="s">
        <v>55</v>
      </c>
    </row>
    <row r="143" spans="2:29" x14ac:dyDescent="0.15">
      <c r="B143" s="105" t="s">
        <v>475</v>
      </c>
      <c r="C143" s="105" t="s">
        <v>873</v>
      </c>
      <c r="D143" s="32" t="s">
        <v>739</v>
      </c>
      <c r="E143" s="33">
        <v>27197</v>
      </c>
      <c r="F143" s="33">
        <v>0</v>
      </c>
      <c r="G143" s="33">
        <v>9021</v>
      </c>
      <c r="H143" s="33">
        <v>36218</v>
      </c>
      <c r="I143" s="33">
        <v>16734</v>
      </c>
      <c r="J143" s="33">
        <v>0</v>
      </c>
      <c r="K143" s="33">
        <v>8630</v>
      </c>
      <c r="L143" s="33">
        <v>25364</v>
      </c>
      <c r="M143" s="33">
        <v>10463</v>
      </c>
      <c r="N143" s="33">
        <v>0</v>
      </c>
      <c r="O143" s="33">
        <v>391</v>
      </c>
      <c r="P143" s="33">
        <v>10854</v>
      </c>
      <c r="Q143" s="56">
        <v>0.70031476061626818</v>
      </c>
      <c r="R143" s="56">
        <v>0.61528845093208806</v>
      </c>
      <c r="S143" s="56" t="s">
        <v>41</v>
      </c>
      <c r="T143" s="56">
        <v>0.95665668994568231</v>
      </c>
      <c r="U143" s="116">
        <v>7815</v>
      </c>
      <c r="V143" s="116">
        <v>0</v>
      </c>
      <c r="W143" s="116">
        <v>443</v>
      </c>
      <c r="X143" s="116">
        <v>8258</v>
      </c>
      <c r="Y143" s="116">
        <v>2708</v>
      </c>
      <c r="Z143" s="116">
        <v>10966</v>
      </c>
      <c r="AA143" s="116">
        <v>1974</v>
      </c>
      <c r="AB143" s="116">
        <v>1103</v>
      </c>
      <c r="AC143" s="10" t="s">
        <v>73</v>
      </c>
    </row>
    <row r="144" spans="2:29" x14ac:dyDescent="0.15">
      <c r="B144" s="105" t="s">
        <v>491</v>
      </c>
      <c r="C144" s="105" t="s">
        <v>873</v>
      </c>
      <c r="D144" s="32" t="s">
        <v>826</v>
      </c>
      <c r="E144" s="33">
        <v>0</v>
      </c>
      <c r="F144" s="33">
        <v>0</v>
      </c>
      <c r="G144" s="33">
        <v>1040</v>
      </c>
      <c r="H144" s="33">
        <v>1040</v>
      </c>
      <c r="I144" s="33">
        <v>0</v>
      </c>
      <c r="J144" s="33">
        <v>0</v>
      </c>
      <c r="K144" s="33">
        <v>1036</v>
      </c>
      <c r="L144" s="33">
        <v>1036</v>
      </c>
      <c r="M144" s="33">
        <v>0</v>
      </c>
      <c r="N144" s="33">
        <v>0</v>
      </c>
      <c r="O144" s="33">
        <v>4</v>
      </c>
      <c r="P144" s="33">
        <v>4</v>
      </c>
      <c r="Q144" s="56">
        <v>0.99615384615384617</v>
      </c>
      <c r="R144" s="56" t="s">
        <v>41</v>
      </c>
      <c r="S144" s="56" t="s">
        <v>41</v>
      </c>
      <c r="T144" s="56">
        <v>0.99615384615384617</v>
      </c>
      <c r="U144" s="116">
        <v>0</v>
      </c>
      <c r="V144" s="116">
        <v>0</v>
      </c>
      <c r="W144" s="116">
        <v>0</v>
      </c>
      <c r="X144" s="116">
        <v>0</v>
      </c>
      <c r="Y144" s="116">
        <v>0</v>
      </c>
      <c r="Z144" s="116">
        <v>0</v>
      </c>
      <c r="AA144" s="116">
        <v>0</v>
      </c>
      <c r="AB144" s="116">
        <v>0</v>
      </c>
      <c r="AC144" s="10" t="s">
        <v>77</v>
      </c>
    </row>
    <row r="145" spans="2:29" x14ac:dyDescent="0.15">
      <c r="B145" s="105" t="s">
        <v>493</v>
      </c>
      <c r="C145" s="105" t="s">
        <v>873</v>
      </c>
      <c r="D145" s="32" t="s">
        <v>494</v>
      </c>
      <c r="E145" s="33">
        <v>0</v>
      </c>
      <c r="F145" s="33">
        <v>0</v>
      </c>
      <c r="G145" s="33">
        <v>1633</v>
      </c>
      <c r="H145" s="33">
        <v>1633</v>
      </c>
      <c r="I145" s="33">
        <v>0</v>
      </c>
      <c r="J145" s="33">
        <v>0</v>
      </c>
      <c r="K145" s="33">
        <v>1620</v>
      </c>
      <c r="L145" s="33">
        <v>1620</v>
      </c>
      <c r="M145" s="33">
        <v>0</v>
      </c>
      <c r="N145" s="33">
        <v>0</v>
      </c>
      <c r="O145" s="33">
        <v>13</v>
      </c>
      <c r="P145" s="33">
        <v>13</v>
      </c>
      <c r="Q145" s="56">
        <v>0.99203919167176979</v>
      </c>
      <c r="R145" s="56" t="s">
        <v>41</v>
      </c>
      <c r="S145" s="56" t="s">
        <v>41</v>
      </c>
      <c r="T145" s="56">
        <v>0.99203919167176979</v>
      </c>
      <c r="U145" s="116">
        <v>0</v>
      </c>
      <c r="V145" s="116">
        <v>0</v>
      </c>
      <c r="W145" s="116">
        <v>0</v>
      </c>
      <c r="X145" s="116">
        <v>0</v>
      </c>
      <c r="Y145" s="116">
        <v>0</v>
      </c>
      <c r="Z145" s="116">
        <v>0</v>
      </c>
      <c r="AA145" s="116">
        <v>0</v>
      </c>
      <c r="AB145" s="116">
        <v>0</v>
      </c>
      <c r="AC145" s="10" t="s">
        <v>77</v>
      </c>
    </row>
    <row r="146" spans="2:29" x14ac:dyDescent="0.15">
      <c r="B146" s="105" t="s">
        <v>477</v>
      </c>
      <c r="C146" s="105" t="s">
        <v>873</v>
      </c>
      <c r="D146" s="32" t="s">
        <v>478</v>
      </c>
      <c r="E146" s="33">
        <v>8875</v>
      </c>
      <c r="F146" s="33">
        <v>0</v>
      </c>
      <c r="G146" s="33">
        <v>2414</v>
      </c>
      <c r="H146" s="33">
        <v>11289</v>
      </c>
      <c r="I146" s="33">
        <v>5574</v>
      </c>
      <c r="J146" s="33">
        <v>0</v>
      </c>
      <c r="K146" s="33">
        <v>2353</v>
      </c>
      <c r="L146" s="33">
        <v>7927</v>
      </c>
      <c r="M146" s="33">
        <v>3301</v>
      </c>
      <c r="N146" s="33">
        <v>0</v>
      </c>
      <c r="O146" s="33">
        <v>61</v>
      </c>
      <c r="P146" s="33">
        <v>3362</v>
      </c>
      <c r="Q146" s="56">
        <v>0.70218797059084059</v>
      </c>
      <c r="R146" s="56">
        <v>0.62805633802816896</v>
      </c>
      <c r="S146" s="56" t="s">
        <v>41</v>
      </c>
      <c r="T146" s="56">
        <v>0.97473073736536864</v>
      </c>
      <c r="U146" s="116">
        <v>2584</v>
      </c>
      <c r="V146" s="116">
        <v>0</v>
      </c>
      <c r="W146" s="116">
        <v>63</v>
      </c>
      <c r="X146" s="116">
        <v>2647</v>
      </c>
      <c r="Y146" s="116">
        <v>1006</v>
      </c>
      <c r="Z146" s="116">
        <v>3653</v>
      </c>
      <c r="AA146" s="116">
        <v>919</v>
      </c>
      <c r="AB146" s="116">
        <v>228</v>
      </c>
      <c r="AC146" s="10" t="s">
        <v>73</v>
      </c>
    </row>
    <row r="147" spans="2:29" x14ac:dyDescent="0.15">
      <c r="B147" s="105" t="s">
        <v>479</v>
      </c>
      <c r="C147" s="105" t="s">
        <v>873</v>
      </c>
      <c r="D147" s="32" t="s">
        <v>741</v>
      </c>
      <c r="E147" s="33">
        <v>9548</v>
      </c>
      <c r="F147" s="33">
        <v>0</v>
      </c>
      <c r="G147" s="33">
        <v>2419</v>
      </c>
      <c r="H147" s="33">
        <v>11967</v>
      </c>
      <c r="I147" s="33">
        <v>4801</v>
      </c>
      <c r="J147" s="33">
        <v>0</v>
      </c>
      <c r="K147" s="33">
        <v>2380</v>
      </c>
      <c r="L147" s="33">
        <v>7181</v>
      </c>
      <c r="M147" s="33">
        <v>4747</v>
      </c>
      <c r="N147" s="33">
        <v>0</v>
      </c>
      <c r="O147" s="33">
        <v>39</v>
      </c>
      <c r="P147" s="33">
        <v>4786</v>
      </c>
      <c r="Q147" s="56">
        <v>0.60006685050555697</v>
      </c>
      <c r="R147" s="56">
        <v>0.50282781734394633</v>
      </c>
      <c r="S147" s="56" t="s">
        <v>41</v>
      </c>
      <c r="T147" s="56">
        <v>0.9838776353865234</v>
      </c>
      <c r="U147" s="116">
        <v>1532</v>
      </c>
      <c r="V147" s="116">
        <v>0</v>
      </c>
      <c r="W147" s="116">
        <v>0</v>
      </c>
      <c r="X147" s="116">
        <v>1532</v>
      </c>
      <c r="Y147" s="116">
        <v>253</v>
      </c>
      <c r="Z147" s="116">
        <v>1785</v>
      </c>
      <c r="AA147" s="116">
        <v>1069</v>
      </c>
      <c r="AB147" s="116">
        <v>681</v>
      </c>
      <c r="AC147" s="10" t="s">
        <v>73</v>
      </c>
    </row>
    <row r="148" spans="2:29" x14ac:dyDescent="0.15">
      <c r="B148" s="105" t="s">
        <v>480</v>
      </c>
      <c r="C148" s="105" t="s">
        <v>873</v>
      </c>
      <c r="D148" s="32" t="s">
        <v>481</v>
      </c>
      <c r="E148" s="33">
        <v>0</v>
      </c>
      <c r="F148" s="33">
        <v>0</v>
      </c>
      <c r="G148" s="33">
        <v>0</v>
      </c>
      <c r="H148" s="33">
        <v>0</v>
      </c>
      <c r="I148" s="33">
        <v>0</v>
      </c>
      <c r="J148" s="33">
        <v>0</v>
      </c>
      <c r="K148" s="33">
        <v>0</v>
      </c>
      <c r="L148" s="33">
        <v>0</v>
      </c>
      <c r="M148" s="33">
        <v>0</v>
      </c>
      <c r="N148" s="33">
        <v>0</v>
      </c>
      <c r="O148" s="33">
        <v>0</v>
      </c>
      <c r="P148" s="33">
        <v>0</v>
      </c>
      <c r="Q148" s="56" t="s">
        <v>41</v>
      </c>
      <c r="R148" s="56" t="s">
        <v>41</v>
      </c>
      <c r="S148" s="56" t="s">
        <v>41</v>
      </c>
      <c r="T148" s="56" t="s">
        <v>41</v>
      </c>
      <c r="U148" s="116">
        <v>0</v>
      </c>
      <c r="V148" s="116">
        <v>0</v>
      </c>
      <c r="W148" s="116">
        <v>0</v>
      </c>
      <c r="X148" s="116">
        <v>0</v>
      </c>
      <c r="Y148" s="116">
        <v>891</v>
      </c>
      <c r="Z148" s="116">
        <v>891</v>
      </c>
      <c r="AA148" s="116">
        <v>0</v>
      </c>
      <c r="AB148" s="116">
        <v>0</v>
      </c>
      <c r="AC148" s="10" t="s">
        <v>73</v>
      </c>
    </row>
    <row r="149" spans="2:29" x14ac:dyDescent="0.15">
      <c r="B149" s="105" t="s">
        <v>435</v>
      </c>
      <c r="C149" s="105" t="s">
        <v>873</v>
      </c>
      <c r="D149" s="32" t="s">
        <v>436</v>
      </c>
      <c r="E149" s="33">
        <v>0</v>
      </c>
      <c r="F149" s="33">
        <v>0</v>
      </c>
      <c r="G149" s="33">
        <v>0</v>
      </c>
      <c r="H149" s="33">
        <v>0</v>
      </c>
      <c r="I149" s="33">
        <v>0</v>
      </c>
      <c r="J149" s="33">
        <v>0</v>
      </c>
      <c r="K149" s="33">
        <v>0</v>
      </c>
      <c r="L149" s="33">
        <v>0</v>
      </c>
      <c r="M149" s="33">
        <v>0</v>
      </c>
      <c r="N149" s="33">
        <v>0</v>
      </c>
      <c r="O149" s="33">
        <v>0</v>
      </c>
      <c r="P149" s="33">
        <v>0</v>
      </c>
      <c r="Q149" s="56" t="s">
        <v>41</v>
      </c>
      <c r="R149" s="56" t="s">
        <v>41</v>
      </c>
      <c r="S149" s="56" t="s">
        <v>41</v>
      </c>
      <c r="T149" s="56" t="s">
        <v>41</v>
      </c>
      <c r="U149" s="116">
        <v>0</v>
      </c>
      <c r="V149" s="116">
        <v>0</v>
      </c>
      <c r="W149" s="116">
        <v>0</v>
      </c>
      <c r="X149" s="116">
        <v>0</v>
      </c>
      <c r="Y149" s="116">
        <v>200</v>
      </c>
      <c r="Z149" s="116">
        <v>200</v>
      </c>
      <c r="AA149" s="116">
        <v>0</v>
      </c>
      <c r="AB149" s="116">
        <v>0</v>
      </c>
      <c r="AC149" s="10" t="s">
        <v>55</v>
      </c>
    </row>
    <row r="150" spans="2:29" x14ac:dyDescent="0.15">
      <c r="B150" s="105" t="s">
        <v>495</v>
      </c>
      <c r="C150" s="105" t="s">
        <v>873</v>
      </c>
      <c r="D150" s="32" t="s">
        <v>742</v>
      </c>
      <c r="E150" s="33">
        <v>9076</v>
      </c>
      <c r="F150" s="33">
        <v>0</v>
      </c>
      <c r="G150" s="33">
        <v>4957</v>
      </c>
      <c r="H150" s="33">
        <v>14033</v>
      </c>
      <c r="I150" s="33">
        <v>5468</v>
      </c>
      <c r="J150" s="33">
        <v>0</v>
      </c>
      <c r="K150" s="33">
        <v>4841</v>
      </c>
      <c r="L150" s="33">
        <v>10309</v>
      </c>
      <c r="M150" s="33">
        <v>3608</v>
      </c>
      <c r="N150" s="33">
        <v>0</v>
      </c>
      <c r="O150" s="33">
        <v>116</v>
      </c>
      <c r="P150" s="33">
        <v>3724</v>
      </c>
      <c r="Q150" s="56">
        <v>0.73462552554692506</v>
      </c>
      <c r="R150" s="56">
        <v>0.60246804759806083</v>
      </c>
      <c r="S150" s="56" t="s">
        <v>41</v>
      </c>
      <c r="T150" s="56">
        <v>0.9765987492434941</v>
      </c>
      <c r="U150" s="116">
        <v>3212</v>
      </c>
      <c r="V150" s="116">
        <v>0</v>
      </c>
      <c r="W150" s="116">
        <v>11</v>
      </c>
      <c r="X150" s="116">
        <v>3223</v>
      </c>
      <c r="Y150" s="116">
        <v>1022</v>
      </c>
      <c r="Z150" s="116">
        <v>4245</v>
      </c>
      <c r="AA150" s="116">
        <v>1202</v>
      </c>
      <c r="AB150" s="116">
        <v>532</v>
      </c>
      <c r="AC150" s="10" t="s">
        <v>77</v>
      </c>
    </row>
    <row r="151" spans="2:29" x14ac:dyDescent="0.15">
      <c r="B151" s="105" t="s">
        <v>438</v>
      </c>
      <c r="C151" s="105" t="s">
        <v>873</v>
      </c>
      <c r="D151" s="32" t="s">
        <v>824</v>
      </c>
      <c r="E151" s="33">
        <v>0</v>
      </c>
      <c r="F151" s="33">
        <v>0</v>
      </c>
      <c r="G151" s="33">
        <v>3605</v>
      </c>
      <c r="H151" s="33">
        <v>3605</v>
      </c>
      <c r="I151" s="33">
        <v>0</v>
      </c>
      <c r="J151" s="33">
        <v>0</v>
      </c>
      <c r="K151" s="33">
        <v>3240</v>
      </c>
      <c r="L151" s="33">
        <v>3240</v>
      </c>
      <c r="M151" s="33">
        <v>0</v>
      </c>
      <c r="N151" s="33">
        <v>0</v>
      </c>
      <c r="O151" s="33">
        <v>365</v>
      </c>
      <c r="P151" s="33">
        <v>365</v>
      </c>
      <c r="Q151" s="56">
        <v>0.89875173370319006</v>
      </c>
      <c r="R151" s="56" t="s">
        <v>41</v>
      </c>
      <c r="S151" s="56" t="s">
        <v>41</v>
      </c>
      <c r="T151" s="56">
        <v>0.89875173370319006</v>
      </c>
      <c r="U151" s="116">
        <v>0</v>
      </c>
      <c r="V151" s="116">
        <v>0</v>
      </c>
      <c r="W151" s="116">
        <v>0</v>
      </c>
      <c r="X151" s="116">
        <v>0</v>
      </c>
      <c r="Y151" s="116">
        <v>0</v>
      </c>
      <c r="Z151" s="116">
        <v>0</v>
      </c>
      <c r="AA151" s="116">
        <v>0</v>
      </c>
      <c r="AB151" s="116">
        <v>0</v>
      </c>
      <c r="AC151" s="10" t="s">
        <v>55</v>
      </c>
    </row>
    <row r="152" spans="2:29" x14ac:dyDescent="0.15">
      <c r="B152" s="105" t="s">
        <v>440</v>
      </c>
      <c r="C152" s="105" t="s">
        <v>873</v>
      </c>
      <c r="D152" s="32" t="s">
        <v>441</v>
      </c>
      <c r="E152" s="33">
        <v>8046</v>
      </c>
      <c r="F152" s="33">
        <v>0</v>
      </c>
      <c r="G152" s="33">
        <v>2623</v>
      </c>
      <c r="H152" s="33">
        <v>10669</v>
      </c>
      <c r="I152" s="33">
        <v>3494</v>
      </c>
      <c r="J152" s="33">
        <v>0</v>
      </c>
      <c r="K152" s="33">
        <v>2207</v>
      </c>
      <c r="L152" s="33">
        <v>5701</v>
      </c>
      <c r="M152" s="33">
        <v>4552</v>
      </c>
      <c r="N152" s="33">
        <v>0</v>
      </c>
      <c r="O152" s="33">
        <v>416</v>
      </c>
      <c r="P152" s="33">
        <v>4968</v>
      </c>
      <c r="Q152" s="56">
        <v>0.53435186053050898</v>
      </c>
      <c r="R152" s="56">
        <v>0.43425304499130002</v>
      </c>
      <c r="S152" s="56" t="s">
        <v>41</v>
      </c>
      <c r="T152" s="56">
        <v>0.84140297369424322</v>
      </c>
      <c r="U152" s="116">
        <v>2321</v>
      </c>
      <c r="V152" s="116">
        <v>0</v>
      </c>
      <c r="W152" s="116">
        <v>0</v>
      </c>
      <c r="X152" s="116">
        <v>2321</v>
      </c>
      <c r="Y152" s="116">
        <v>1702</v>
      </c>
      <c r="Z152" s="116">
        <v>4023</v>
      </c>
      <c r="AA152" s="116">
        <v>978</v>
      </c>
      <c r="AB152" s="116">
        <v>498</v>
      </c>
      <c r="AC152" s="10" t="s">
        <v>55</v>
      </c>
    </row>
    <row r="153" spans="2:29" x14ac:dyDescent="0.15">
      <c r="B153" s="105" t="s">
        <v>484</v>
      </c>
      <c r="C153" s="105" t="s">
        <v>873</v>
      </c>
      <c r="D153" s="32" t="s">
        <v>868</v>
      </c>
      <c r="E153" s="33">
        <v>7034</v>
      </c>
      <c r="F153" s="33">
        <v>0</v>
      </c>
      <c r="G153" s="33">
        <v>6080</v>
      </c>
      <c r="H153" s="33">
        <v>13114</v>
      </c>
      <c r="I153" s="33">
        <v>3056</v>
      </c>
      <c r="J153" s="33">
        <v>0</v>
      </c>
      <c r="K153" s="33">
        <v>5996</v>
      </c>
      <c r="L153" s="33">
        <v>9052</v>
      </c>
      <c r="M153" s="33">
        <v>3978</v>
      </c>
      <c r="N153" s="33">
        <v>0</v>
      </c>
      <c r="O153" s="33">
        <v>84</v>
      </c>
      <c r="P153" s="33">
        <v>4062</v>
      </c>
      <c r="Q153" s="56">
        <v>0.69025468964465453</v>
      </c>
      <c r="R153" s="56">
        <v>0.43446118851293714</v>
      </c>
      <c r="S153" s="56" t="s">
        <v>41</v>
      </c>
      <c r="T153" s="56">
        <v>0.98618421052631577</v>
      </c>
      <c r="U153" s="116">
        <v>2433</v>
      </c>
      <c r="V153" s="116">
        <v>0</v>
      </c>
      <c r="W153" s="116">
        <v>0</v>
      </c>
      <c r="X153" s="116">
        <v>2433</v>
      </c>
      <c r="Y153" s="116">
        <v>514</v>
      </c>
      <c r="Z153" s="116">
        <v>2947</v>
      </c>
      <c r="AA153" s="116">
        <v>694</v>
      </c>
      <c r="AB153" s="116">
        <v>238</v>
      </c>
      <c r="AC153" s="10" t="s">
        <v>73</v>
      </c>
    </row>
    <row r="154" spans="2:29" x14ac:dyDescent="0.15">
      <c r="B154" s="105" t="s">
        <v>652</v>
      </c>
      <c r="C154" s="105" t="s">
        <v>870</v>
      </c>
      <c r="D154" s="32" t="s">
        <v>744</v>
      </c>
      <c r="E154" s="33">
        <v>8078</v>
      </c>
      <c r="F154" s="33">
        <v>0</v>
      </c>
      <c r="G154" s="33">
        <v>2683</v>
      </c>
      <c r="H154" s="33">
        <v>10761</v>
      </c>
      <c r="I154" s="33">
        <v>4690</v>
      </c>
      <c r="J154" s="33">
        <v>0</v>
      </c>
      <c r="K154" s="33">
        <v>2526</v>
      </c>
      <c r="L154" s="33">
        <v>7216</v>
      </c>
      <c r="M154" s="33">
        <v>3388</v>
      </c>
      <c r="N154" s="33">
        <v>0</v>
      </c>
      <c r="O154" s="33">
        <v>157</v>
      </c>
      <c r="P154" s="33">
        <v>3545</v>
      </c>
      <c r="Q154" s="56">
        <v>0.67056964966081223</v>
      </c>
      <c r="R154" s="56">
        <v>0.58058925476603118</v>
      </c>
      <c r="S154" s="56" t="s">
        <v>41</v>
      </c>
      <c r="T154" s="56">
        <v>0.94148341408870673</v>
      </c>
      <c r="U154" s="116">
        <v>2378</v>
      </c>
      <c r="V154" s="116">
        <v>0</v>
      </c>
      <c r="W154" s="116">
        <v>0</v>
      </c>
      <c r="X154" s="116">
        <v>2378</v>
      </c>
      <c r="Y154" s="116">
        <v>470</v>
      </c>
      <c r="Z154" s="116">
        <v>2848</v>
      </c>
      <c r="AA154" s="116">
        <v>1029</v>
      </c>
      <c r="AB154" s="116">
        <v>489</v>
      </c>
      <c r="AC154" s="10" t="s">
        <v>836</v>
      </c>
    </row>
    <row r="155" spans="2:29" x14ac:dyDescent="0.15">
      <c r="B155" s="105" t="s">
        <v>781</v>
      </c>
      <c r="C155" s="105" t="s">
        <v>870</v>
      </c>
      <c r="D155" s="32" t="s">
        <v>656</v>
      </c>
      <c r="E155" s="33">
        <v>0</v>
      </c>
      <c r="F155" s="33">
        <v>0</v>
      </c>
      <c r="G155" s="33">
        <v>2584</v>
      </c>
      <c r="H155" s="33">
        <v>2584</v>
      </c>
      <c r="I155" s="33">
        <v>0</v>
      </c>
      <c r="J155" s="33">
        <v>0</v>
      </c>
      <c r="K155" s="33">
        <v>2311</v>
      </c>
      <c r="L155" s="33">
        <v>2311</v>
      </c>
      <c r="M155" s="33">
        <v>0</v>
      </c>
      <c r="N155" s="33">
        <v>0</v>
      </c>
      <c r="O155" s="33">
        <v>273</v>
      </c>
      <c r="P155" s="33">
        <v>273</v>
      </c>
      <c r="Q155" s="56">
        <v>0.89434984520123839</v>
      </c>
      <c r="R155" s="56" t="s">
        <v>41</v>
      </c>
      <c r="S155" s="56" t="s">
        <v>41</v>
      </c>
      <c r="T155" s="56">
        <v>0.89434984520123839</v>
      </c>
      <c r="U155" s="116">
        <v>0</v>
      </c>
      <c r="V155" s="116">
        <v>0</v>
      </c>
      <c r="W155" s="116">
        <v>0</v>
      </c>
      <c r="X155" s="116">
        <v>0</v>
      </c>
      <c r="Y155" s="116">
        <v>0</v>
      </c>
      <c r="Z155" s="116">
        <v>0</v>
      </c>
      <c r="AA155" s="116">
        <v>0</v>
      </c>
      <c r="AB155" s="116">
        <v>0</v>
      </c>
      <c r="AC155" s="10" t="s">
        <v>836</v>
      </c>
    </row>
    <row r="156" spans="2:29" x14ac:dyDescent="0.15">
      <c r="B156" s="105" t="s">
        <v>576</v>
      </c>
      <c r="C156" s="105" t="s">
        <v>870</v>
      </c>
      <c r="D156" s="32" t="s">
        <v>577</v>
      </c>
      <c r="E156" s="33">
        <v>0</v>
      </c>
      <c r="F156" s="33">
        <v>0</v>
      </c>
      <c r="G156" s="33">
        <v>1419</v>
      </c>
      <c r="H156" s="33">
        <v>1419</v>
      </c>
      <c r="I156" s="33">
        <v>0</v>
      </c>
      <c r="J156" s="33">
        <v>0</v>
      </c>
      <c r="K156" s="33">
        <v>1400</v>
      </c>
      <c r="L156" s="33">
        <v>1400</v>
      </c>
      <c r="M156" s="33">
        <v>0</v>
      </c>
      <c r="N156" s="33">
        <v>0</v>
      </c>
      <c r="O156" s="33">
        <v>19</v>
      </c>
      <c r="P156" s="33">
        <v>19</v>
      </c>
      <c r="Q156" s="56">
        <v>0.98661028893587033</v>
      </c>
      <c r="R156" s="56" t="s">
        <v>41</v>
      </c>
      <c r="S156" s="56" t="s">
        <v>41</v>
      </c>
      <c r="T156" s="56">
        <v>0.98661028893587033</v>
      </c>
      <c r="U156" s="116">
        <v>0</v>
      </c>
      <c r="V156" s="116">
        <v>0</v>
      </c>
      <c r="W156" s="116">
        <v>30</v>
      </c>
      <c r="X156" s="116">
        <v>30</v>
      </c>
      <c r="Y156" s="116">
        <v>0</v>
      </c>
      <c r="Z156" s="116">
        <v>30</v>
      </c>
      <c r="AA156" s="116">
        <v>0</v>
      </c>
      <c r="AB156" s="116">
        <v>0</v>
      </c>
      <c r="AC156" s="10" t="s">
        <v>830</v>
      </c>
    </row>
    <row r="157" spans="2:29" x14ac:dyDescent="0.15">
      <c r="B157" s="105" t="s">
        <v>668</v>
      </c>
      <c r="C157" s="105" t="s">
        <v>870</v>
      </c>
      <c r="D157" s="32" t="s">
        <v>837</v>
      </c>
      <c r="E157" s="33">
        <v>0</v>
      </c>
      <c r="F157" s="33">
        <v>0</v>
      </c>
      <c r="G157" s="33">
        <v>1969</v>
      </c>
      <c r="H157" s="33">
        <v>1969</v>
      </c>
      <c r="I157" s="33">
        <v>0</v>
      </c>
      <c r="J157" s="33">
        <v>0</v>
      </c>
      <c r="K157" s="33">
        <v>1969</v>
      </c>
      <c r="L157" s="33">
        <v>1969</v>
      </c>
      <c r="M157" s="33">
        <v>0</v>
      </c>
      <c r="N157" s="33">
        <v>0</v>
      </c>
      <c r="O157" s="33">
        <v>0</v>
      </c>
      <c r="P157" s="33">
        <v>0</v>
      </c>
      <c r="Q157" s="56">
        <v>1</v>
      </c>
      <c r="R157" s="56" t="s">
        <v>41</v>
      </c>
      <c r="S157" s="56" t="s">
        <v>41</v>
      </c>
      <c r="T157" s="56">
        <v>1</v>
      </c>
      <c r="U157" s="116">
        <v>0</v>
      </c>
      <c r="V157" s="116">
        <v>0</v>
      </c>
      <c r="W157" s="116">
        <v>0</v>
      </c>
      <c r="X157" s="116">
        <v>0</v>
      </c>
      <c r="Y157" s="116">
        <v>0</v>
      </c>
      <c r="Z157" s="116">
        <v>0</v>
      </c>
      <c r="AA157" s="116">
        <v>0</v>
      </c>
      <c r="AB157" s="116">
        <v>0</v>
      </c>
      <c r="AC157" s="10" t="s">
        <v>836</v>
      </c>
    </row>
    <row r="158" spans="2:29" x14ac:dyDescent="0.15">
      <c r="B158" s="105" t="s">
        <v>578</v>
      </c>
      <c r="C158" s="105" t="s">
        <v>870</v>
      </c>
      <c r="D158" s="32" t="s">
        <v>579</v>
      </c>
      <c r="E158" s="33">
        <v>9848</v>
      </c>
      <c r="F158" s="33">
        <v>1233</v>
      </c>
      <c r="G158" s="33">
        <v>3232</v>
      </c>
      <c r="H158" s="33">
        <v>14313</v>
      </c>
      <c r="I158" s="33">
        <v>6755</v>
      </c>
      <c r="J158" s="33">
        <v>1233</v>
      </c>
      <c r="K158" s="33">
        <v>3112</v>
      </c>
      <c r="L158" s="33">
        <v>11100</v>
      </c>
      <c r="M158" s="33">
        <v>3093</v>
      </c>
      <c r="N158" s="33">
        <v>0</v>
      </c>
      <c r="O158" s="33">
        <v>120</v>
      </c>
      <c r="P158" s="33">
        <v>3213</v>
      </c>
      <c r="Q158" s="56">
        <v>0.77551875916998536</v>
      </c>
      <c r="R158" s="56">
        <v>0.68592607636068237</v>
      </c>
      <c r="S158" s="56">
        <v>1</v>
      </c>
      <c r="T158" s="56">
        <v>0.96287128712871284</v>
      </c>
      <c r="U158" s="116">
        <v>4400</v>
      </c>
      <c r="V158" s="116">
        <v>898</v>
      </c>
      <c r="W158" s="116">
        <v>0</v>
      </c>
      <c r="X158" s="116">
        <v>5298</v>
      </c>
      <c r="Y158" s="116">
        <v>335</v>
      </c>
      <c r="Z158" s="116">
        <v>5633</v>
      </c>
      <c r="AA158" s="116">
        <v>356</v>
      </c>
      <c r="AB158" s="116">
        <v>164</v>
      </c>
      <c r="AC158" s="10" t="s">
        <v>830</v>
      </c>
    </row>
    <row r="159" spans="2:29" x14ac:dyDescent="0.15">
      <c r="B159" s="105" t="s">
        <v>639</v>
      </c>
      <c r="C159" s="105" t="s">
        <v>870</v>
      </c>
      <c r="D159" s="32" t="s">
        <v>745</v>
      </c>
      <c r="E159" s="33">
        <v>12375</v>
      </c>
      <c r="F159" s="33">
        <v>0</v>
      </c>
      <c r="G159" s="33">
        <v>4121</v>
      </c>
      <c r="H159" s="33">
        <v>16496</v>
      </c>
      <c r="I159" s="33">
        <v>9198</v>
      </c>
      <c r="J159" s="33">
        <v>0</v>
      </c>
      <c r="K159" s="33">
        <v>4023</v>
      </c>
      <c r="L159" s="33">
        <v>13221</v>
      </c>
      <c r="M159" s="33">
        <v>3177</v>
      </c>
      <c r="N159" s="33">
        <v>0</v>
      </c>
      <c r="O159" s="33">
        <v>98</v>
      </c>
      <c r="P159" s="33">
        <v>3275</v>
      </c>
      <c r="Q159" s="56">
        <v>0.80146702230843836</v>
      </c>
      <c r="R159" s="56">
        <v>0.74327272727272731</v>
      </c>
      <c r="S159" s="56" t="s">
        <v>41</v>
      </c>
      <c r="T159" s="56">
        <v>0.97621936423198252</v>
      </c>
      <c r="U159" s="116">
        <v>3815</v>
      </c>
      <c r="V159" s="116">
        <v>0</v>
      </c>
      <c r="W159" s="116">
        <v>0</v>
      </c>
      <c r="X159" s="116">
        <v>3815</v>
      </c>
      <c r="Y159" s="116">
        <v>314</v>
      </c>
      <c r="Z159" s="116">
        <v>4129</v>
      </c>
      <c r="AA159" s="116">
        <v>903</v>
      </c>
      <c r="AB159" s="116">
        <v>490</v>
      </c>
      <c r="AC159" s="10" t="s">
        <v>87</v>
      </c>
    </row>
    <row r="160" spans="2:29" x14ac:dyDescent="0.15">
      <c r="B160" s="105" t="s">
        <v>641</v>
      </c>
      <c r="C160" s="105" t="s">
        <v>870</v>
      </c>
      <c r="D160" s="32" t="s">
        <v>642</v>
      </c>
      <c r="E160" s="33">
        <v>13689</v>
      </c>
      <c r="F160" s="33">
        <v>0</v>
      </c>
      <c r="G160" s="33">
        <v>13271</v>
      </c>
      <c r="H160" s="33">
        <v>26960</v>
      </c>
      <c r="I160" s="33">
        <v>6974</v>
      </c>
      <c r="J160" s="33">
        <v>0</v>
      </c>
      <c r="K160" s="33">
        <v>12457</v>
      </c>
      <c r="L160" s="33">
        <v>19431</v>
      </c>
      <c r="M160" s="33">
        <v>6715</v>
      </c>
      <c r="N160" s="33">
        <v>0</v>
      </c>
      <c r="O160" s="33">
        <v>814</v>
      </c>
      <c r="P160" s="33">
        <v>7529</v>
      </c>
      <c r="Q160" s="56">
        <v>0.72073442136498511</v>
      </c>
      <c r="R160" s="56">
        <v>0.50946015048579152</v>
      </c>
      <c r="S160" s="56" t="s">
        <v>41</v>
      </c>
      <c r="T160" s="56">
        <v>0.93866325069700851</v>
      </c>
      <c r="U160" s="116">
        <v>3064</v>
      </c>
      <c r="V160" s="116">
        <v>0</v>
      </c>
      <c r="W160" s="116">
        <v>528</v>
      </c>
      <c r="X160" s="116">
        <v>3592</v>
      </c>
      <c r="Y160" s="116">
        <v>544</v>
      </c>
      <c r="Z160" s="116">
        <v>4136</v>
      </c>
      <c r="AA160" s="116">
        <v>1656</v>
      </c>
      <c r="AB160" s="116">
        <v>1079</v>
      </c>
      <c r="AC160" s="10" t="s">
        <v>87</v>
      </c>
    </row>
    <row r="161" spans="2:29" x14ac:dyDescent="0.15">
      <c r="B161" s="105" t="s">
        <v>669</v>
      </c>
      <c r="C161" s="105" t="s">
        <v>870</v>
      </c>
      <c r="D161" s="32" t="s">
        <v>670</v>
      </c>
      <c r="E161" s="33">
        <v>12359</v>
      </c>
      <c r="F161" s="33">
        <v>0</v>
      </c>
      <c r="G161" s="33">
        <v>3758</v>
      </c>
      <c r="H161" s="33">
        <v>16117</v>
      </c>
      <c r="I161" s="33">
        <v>8240</v>
      </c>
      <c r="J161" s="33">
        <v>0</v>
      </c>
      <c r="K161" s="33">
        <v>3710</v>
      </c>
      <c r="L161" s="33">
        <v>11950</v>
      </c>
      <c r="M161" s="33">
        <v>4119</v>
      </c>
      <c r="N161" s="33">
        <v>0</v>
      </c>
      <c r="O161" s="33">
        <v>48</v>
      </c>
      <c r="P161" s="33">
        <v>4167</v>
      </c>
      <c r="Q161" s="56">
        <v>0.74145312403052677</v>
      </c>
      <c r="R161" s="56">
        <v>0.66672060846346792</v>
      </c>
      <c r="S161" s="56" t="s">
        <v>41</v>
      </c>
      <c r="T161" s="56">
        <v>0.9872272485364556</v>
      </c>
      <c r="U161" s="116">
        <v>2463</v>
      </c>
      <c r="V161" s="116">
        <v>0</v>
      </c>
      <c r="W161" s="116">
        <v>0</v>
      </c>
      <c r="X161" s="116">
        <v>2463</v>
      </c>
      <c r="Y161" s="116">
        <v>580</v>
      </c>
      <c r="Z161" s="116">
        <v>3043</v>
      </c>
      <c r="AA161" s="116">
        <v>370</v>
      </c>
      <c r="AB161" s="116">
        <v>215</v>
      </c>
      <c r="AC161" s="10" t="s">
        <v>836</v>
      </c>
    </row>
    <row r="162" spans="2:29" x14ac:dyDescent="0.15">
      <c r="B162" s="105" t="s">
        <v>797</v>
      </c>
      <c r="C162" s="105" t="s">
        <v>870</v>
      </c>
      <c r="D162" s="32" t="s">
        <v>854</v>
      </c>
      <c r="E162" s="33">
        <v>0</v>
      </c>
      <c r="F162" s="33">
        <v>0</v>
      </c>
      <c r="G162" s="33">
        <v>2784</v>
      </c>
      <c r="H162" s="33">
        <v>2784</v>
      </c>
      <c r="I162" s="33">
        <v>0</v>
      </c>
      <c r="J162" s="33">
        <v>0</v>
      </c>
      <c r="K162" s="33">
        <v>2784</v>
      </c>
      <c r="L162" s="33">
        <v>2784</v>
      </c>
      <c r="M162" s="33">
        <v>0</v>
      </c>
      <c r="N162" s="33">
        <v>0</v>
      </c>
      <c r="O162" s="33">
        <v>0</v>
      </c>
      <c r="P162" s="33">
        <v>0</v>
      </c>
      <c r="Q162" s="56">
        <v>1</v>
      </c>
      <c r="R162" s="56" t="s">
        <v>41</v>
      </c>
      <c r="S162" s="56" t="s">
        <v>41</v>
      </c>
      <c r="T162" s="56">
        <v>1</v>
      </c>
      <c r="U162" s="116">
        <v>0</v>
      </c>
      <c r="V162" s="116">
        <v>0</v>
      </c>
      <c r="W162" s="116">
        <v>0</v>
      </c>
      <c r="X162" s="116">
        <v>0</v>
      </c>
      <c r="Y162" s="116">
        <v>0</v>
      </c>
      <c r="Z162" s="116">
        <v>0</v>
      </c>
      <c r="AA162" s="116">
        <v>0</v>
      </c>
      <c r="AB162" s="116">
        <v>0</v>
      </c>
      <c r="AC162" s="10" t="s">
        <v>87</v>
      </c>
    </row>
    <row r="163" spans="2:29" x14ac:dyDescent="0.15">
      <c r="B163" s="105" t="s">
        <v>673</v>
      </c>
      <c r="C163" s="105" t="s">
        <v>870</v>
      </c>
      <c r="D163" s="32" t="s">
        <v>838</v>
      </c>
      <c r="E163" s="33">
        <v>0</v>
      </c>
      <c r="F163" s="33">
        <v>0</v>
      </c>
      <c r="G163" s="33">
        <v>2453</v>
      </c>
      <c r="H163" s="33">
        <v>2453</v>
      </c>
      <c r="I163" s="33">
        <v>0</v>
      </c>
      <c r="J163" s="33">
        <v>0</v>
      </c>
      <c r="K163" s="33">
        <v>2383</v>
      </c>
      <c r="L163" s="33">
        <v>2383</v>
      </c>
      <c r="M163" s="33">
        <v>0</v>
      </c>
      <c r="N163" s="33">
        <v>0</v>
      </c>
      <c r="O163" s="33">
        <v>70</v>
      </c>
      <c r="P163" s="33">
        <v>70</v>
      </c>
      <c r="Q163" s="56">
        <v>0.97146351406441089</v>
      </c>
      <c r="R163" s="56" t="s">
        <v>41</v>
      </c>
      <c r="S163" s="56" t="s">
        <v>41</v>
      </c>
      <c r="T163" s="56">
        <v>0.97146351406441089</v>
      </c>
      <c r="U163" s="116">
        <v>0</v>
      </c>
      <c r="V163" s="116">
        <v>0</v>
      </c>
      <c r="W163" s="116">
        <v>0</v>
      </c>
      <c r="X163" s="116">
        <v>0</v>
      </c>
      <c r="Y163" s="116">
        <v>0</v>
      </c>
      <c r="Z163" s="116">
        <v>0</v>
      </c>
      <c r="AA163" s="116">
        <v>0</v>
      </c>
      <c r="AB163" s="116">
        <v>0</v>
      </c>
      <c r="AC163" s="10" t="s">
        <v>836</v>
      </c>
    </row>
    <row r="164" spans="2:29" x14ac:dyDescent="0.15">
      <c r="B164" s="105" t="s">
        <v>617</v>
      </c>
      <c r="C164" s="105" t="s">
        <v>870</v>
      </c>
      <c r="D164" s="32" t="s">
        <v>618</v>
      </c>
      <c r="E164" s="33">
        <v>23398</v>
      </c>
      <c r="F164" s="33">
        <v>944</v>
      </c>
      <c r="G164" s="33">
        <v>11567</v>
      </c>
      <c r="H164" s="33">
        <v>35909</v>
      </c>
      <c r="I164" s="33">
        <v>14648</v>
      </c>
      <c r="J164" s="33">
        <v>944</v>
      </c>
      <c r="K164" s="33">
        <v>11436</v>
      </c>
      <c r="L164" s="33">
        <v>27028</v>
      </c>
      <c r="M164" s="33">
        <v>8750</v>
      </c>
      <c r="N164" s="33">
        <v>0</v>
      </c>
      <c r="O164" s="33">
        <v>131</v>
      </c>
      <c r="P164" s="33">
        <v>8881</v>
      </c>
      <c r="Q164" s="56">
        <v>0.75268038653262415</v>
      </c>
      <c r="R164" s="56">
        <v>0.626036413368664</v>
      </c>
      <c r="S164" s="56">
        <v>1</v>
      </c>
      <c r="T164" s="56">
        <v>0.9886746779631711</v>
      </c>
      <c r="U164" s="116">
        <v>6720</v>
      </c>
      <c r="V164" s="116">
        <v>0</v>
      </c>
      <c r="W164" s="116">
        <v>0</v>
      </c>
      <c r="X164" s="116">
        <v>6720</v>
      </c>
      <c r="Y164" s="116">
        <v>141</v>
      </c>
      <c r="Z164" s="116">
        <v>6861</v>
      </c>
      <c r="AA164" s="116">
        <v>1711</v>
      </c>
      <c r="AB164" s="116">
        <v>599</v>
      </c>
      <c r="AC164" s="10" t="s">
        <v>830</v>
      </c>
    </row>
    <row r="165" spans="2:29" x14ac:dyDescent="0.15">
      <c r="B165" s="105" t="s">
        <v>634</v>
      </c>
      <c r="C165" s="105" t="s">
        <v>870</v>
      </c>
      <c r="D165" s="32" t="s">
        <v>859</v>
      </c>
      <c r="E165" s="33">
        <v>0</v>
      </c>
      <c r="F165" s="33">
        <v>0</v>
      </c>
      <c r="G165" s="33">
        <v>2855</v>
      </c>
      <c r="H165" s="33">
        <v>2855</v>
      </c>
      <c r="I165" s="33">
        <v>0</v>
      </c>
      <c r="J165" s="33">
        <v>0</v>
      </c>
      <c r="K165" s="33">
        <v>2805</v>
      </c>
      <c r="L165" s="33">
        <v>2805</v>
      </c>
      <c r="M165" s="33">
        <v>0</v>
      </c>
      <c r="N165" s="33">
        <v>0</v>
      </c>
      <c r="O165" s="33">
        <v>50</v>
      </c>
      <c r="P165" s="33">
        <v>50</v>
      </c>
      <c r="Q165" s="56">
        <v>0.98248686514886163</v>
      </c>
      <c r="R165" s="56" t="s">
        <v>41</v>
      </c>
      <c r="S165" s="56" t="s">
        <v>41</v>
      </c>
      <c r="T165" s="56">
        <v>0.98248686514886163</v>
      </c>
      <c r="U165" s="116">
        <v>0</v>
      </c>
      <c r="V165" s="116">
        <v>0</v>
      </c>
      <c r="W165" s="116">
        <v>0</v>
      </c>
      <c r="X165" s="116">
        <v>0</v>
      </c>
      <c r="Y165" s="116">
        <v>112</v>
      </c>
      <c r="Z165" s="116">
        <v>112</v>
      </c>
      <c r="AA165" s="116">
        <v>0</v>
      </c>
      <c r="AB165" s="116">
        <v>0</v>
      </c>
      <c r="AC165" s="10" t="s">
        <v>75</v>
      </c>
    </row>
    <row r="166" spans="2:29" x14ac:dyDescent="0.15">
      <c r="B166" s="105" t="s">
        <v>625</v>
      </c>
      <c r="C166" s="105" t="s">
        <v>870</v>
      </c>
      <c r="D166" s="32" t="s">
        <v>626</v>
      </c>
      <c r="E166" s="33">
        <v>10050</v>
      </c>
      <c r="F166" s="33">
        <v>82</v>
      </c>
      <c r="G166" s="33">
        <v>4873</v>
      </c>
      <c r="H166" s="33">
        <v>15005</v>
      </c>
      <c r="I166" s="33">
        <v>4847</v>
      </c>
      <c r="J166" s="33">
        <v>82</v>
      </c>
      <c r="K166" s="33">
        <v>4450</v>
      </c>
      <c r="L166" s="33">
        <v>9379</v>
      </c>
      <c r="M166" s="33">
        <v>5203</v>
      </c>
      <c r="N166" s="33">
        <v>0</v>
      </c>
      <c r="O166" s="33">
        <v>423</v>
      </c>
      <c r="P166" s="33">
        <v>5626</v>
      </c>
      <c r="Q166" s="56">
        <v>0.62505831389536826</v>
      </c>
      <c r="R166" s="56">
        <v>0.48228855721393032</v>
      </c>
      <c r="S166" s="56">
        <v>1</v>
      </c>
      <c r="T166" s="56">
        <v>0.91319515698748199</v>
      </c>
      <c r="U166" s="116">
        <v>3598</v>
      </c>
      <c r="V166" s="116">
        <v>4</v>
      </c>
      <c r="W166" s="116">
        <v>23</v>
      </c>
      <c r="X166" s="116">
        <v>3625</v>
      </c>
      <c r="Y166" s="116">
        <v>950</v>
      </c>
      <c r="Z166" s="116">
        <v>4575</v>
      </c>
      <c r="AA166" s="116">
        <v>158</v>
      </c>
      <c r="AB166" s="116">
        <v>11</v>
      </c>
      <c r="AC166" s="10" t="s">
        <v>75</v>
      </c>
    </row>
    <row r="167" spans="2:29" x14ac:dyDescent="0.15">
      <c r="B167" s="105" t="s">
        <v>803</v>
      </c>
      <c r="C167" s="105" t="s">
        <v>870</v>
      </c>
      <c r="D167" s="32" t="s">
        <v>804</v>
      </c>
      <c r="E167" s="33">
        <v>0</v>
      </c>
      <c r="F167" s="33">
        <v>0</v>
      </c>
      <c r="G167" s="33">
        <v>901</v>
      </c>
      <c r="H167" s="33">
        <v>901</v>
      </c>
      <c r="I167" s="33">
        <v>0</v>
      </c>
      <c r="J167" s="33">
        <v>0</v>
      </c>
      <c r="K167" s="33">
        <v>901</v>
      </c>
      <c r="L167" s="33">
        <v>901</v>
      </c>
      <c r="M167" s="33">
        <v>0</v>
      </c>
      <c r="N167" s="33">
        <v>0</v>
      </c>
      <c r="O167" s="33">
        <v>0</v>
      </c>
      <c r="P167" s="33">
        <v>0</v>
      </c>
      <c r="Q167" s="56">
        <v>1</v>
      </c>
      <c r="R167" s="56" t="s">
        <v>41</v>
      </c>
      <c r="S167" s="56" t="s">
        <v>41</v>
      </c>
      <c r="T167" s="56">
        <v>1</v>
      </c>
      <c r="U167" s="116">
        <v>0</v>
      </c>
      <c r="V167" s="116">
        <v>0</v>
      </c>
      <c r="W167" s="116">
        <v>0</v>
      </c>
      <c r="X167" s="116">
        <v>0</v>
      </c>
      <c r="Y167" s="116">
        <v>0</v>
      </c>
      <c r="Z167" s="116">
        <v>0</v>
      </c>
      <c r="AA167" s="116">
        <v>0</v>
      </c>
      <c r="AB167" s="116">
        <v>0</v>
      </c>
      <c r="AC167" s="10" t="s">
        <v>836</v>
      </c>
    </row>
    <row r="168" spans="2:29" x14ac:dyDescent="0.15">
      <c r="B168" s="105" t="s">
        <v>801</v>
      </c>
      <c r="C168" s="105" t="s">
        <v>870</v>
      </c>
      <c r="D168" s="32" t="s">
        <v>802</v>
      </c>
      <c r="E168" s="33">
        <v>0</v>
      </c>
      <c r="F168" s="33">
        <v>0</v>
      </c>
      <c r="G168" s="33">
        <v>2779</v>
      </c>
      <c r="H168" s="33">
        <v>2779</v>
      </c>
      <c r="I168" s="33">
        <v>0</v>
      </c>
      <c r="J168" s="33">
        <v>0</v>
      </c>
      <c r="K168" s="33">
        <v>2779</v>
      </c>
      <c r="L168" s="33">
        <v>2779</v>
      </c>
      <c r="M168" s="33">
        <v>0</v>
      </c>
      <c r="N168" s="33">
        <v>0</v>
      </c>
      <c r="O168" s="33">
        <v>0</v>
      </c>
      <c r="P168" s="33">
        <v>0</v>
      </c>
      <c r="Q168" s="56">
        <v>1</v>
      </c>
      <c r="R168" s="56" t="s">
        <v>41</v>
      </c>
      <c r="S168" s="56" t="s">
        <v>41</v>
      </c>
      <c r="T168" s="56">
        <v>1</v>
      </c>
      <c r="U168" s="116">
        <v>0</v>
      </c>
      <c r="V168" s="116">
        <v>0</v>
      </c>
      <c r="W168" s="116">
        <v>0</v>
      </c>
      <c r="X168" s="116">
        <v>0</v>
      </c>
      <c r="Y168" s="116">
        <v>0</v>
      </c>
      <c r="Z168" s="116">
        <v>0</v>
      </c>
      <c r="AA168" s="116">
        <v>0</v>
      </c>
      <c r="AB168" s="116">
        <v>0</v>
      </c>
      <c r="AC168" s="10" t="s">
        <v>87</v>
      </c>
    </row>
    <row r="169" spans="2:29" x14ac:dyDescent="0.15">
      <c r="B169" s="105" t="s">
        <v>627</v>
      </c>
      <c r="C169" s="105" t="s">
        <v>870</v>
      </c>
      <c r="D169" s="32" t="s">
        <v>746</v>
      </c>
      <c r="E169" s="33">
        <v>4442</v>
      </c>
      <c r="F169" s="33">
        <v>230</v>
      </c>
      <c r="G169" s="33">
        <v>1741</v>
      </c>
      <c r="H169" s="33">
        <v>6413</v>
      </c>
      <c r="I169" s="33">
        <v>3195</v>
      </c>
      <c r="J169" s="33">
        <v>230</v>
      </c>
      <c r="K169" s="33">
        <v>1713</v>
      </c>
      <c r="L169" s="33">
        <v>5138</v>
      </c>
      <c r="M169" s="33">
        <v>1247</v>
      </c>
      <c r="N169" s="33">
        <v>0</v>
      </c>
      <c r="O169" s="33">
        <v>28</v>
      </c>
      <c r="P169" s="33">
        <v>1275</v>
      </c>
      <c r="Q169" s="56">
        <v>0.80118509278029004</v>
      </c>
      <c r="R169" s="56">
        <v>0.71927059882935618</v>
      </c>
      <c r="S169" s="56">
        <v>1</v>
      </c>
      <c r="T169" s="56">
        <v>0.98391728891441699</v>
      </c>
      <c r="U169" s="116">
        <v>1453</v>
      </c>
      <c r="V169" s="116">
        <v>0</v>
      </c>
      <c r="W169" s="116">
        <v>0</v>
      </c>
      <c r="X169" s="116">
        <v>1453</v>
      </c>
      <c r="Y169" s="116">
        <v>82</v>
      </c>
      <c r="Z169" s="116">
        <v>1535</v>
      </c>
      <c r="AA169" s="116">
        <v>309</v>
      </c>
      <c r="AB169" s="116">
        <v>110</v>
      </c>
      <c r="AC169" s="10" t="s">
        <v>75</v>
      </c>
    </row>
    <row r="170" spans="2:29" x14ac:dyDescent="0.15">
      <c r="B170" s="105" t="s">
        <v>643</v>
      </c>
      <c r="C170" s="105" t="s">
        <v>870</v>
      </c>
      <c r="D170" s="32" t="s">
        <v>644</v>
      </c>
      <c r="E170" s="33">
        <v>0</v>
      </c>
      <c r="F170" s="33">
        <v>0</v>
      </c>
      <c r="G170" s="33">
        <v>6655</v>
      </c>
      <c r="H170" s="33">
        <v>6655</v>
      </c>
      <c r="I170" s="33">
        <v>0</v>
      </c>
      <c r="J170" s="33">
        <v>0</v>
      </c>
      <c r="K170" s="33">
        <v>6560</v>
      </c>
      <c r="L170" s="33">
        <v>6560</v>
      </c>
      <c r="M170" s="33">
        <v>0</v>
      </c>
      <c r="N170" s="33">
        <v>0</v>
      </c>
      <c r="O170" s="33">
        <v>95</v>
      </c>
      <c r="P170" s="33">
        <v>95</v>
      </c>
      <c r="Q170" s="56">
        <v>0.98572501878287</v>
      </c>
      <c r="R170" s="56" t="s">
        <v>41</v>
      </c>
      <c r="S170" s="56" t="s">
        <v>41</v>
      </c>
      <c r="T170" s="56">
        <v>0.98572501878287</v>
      </c>
      <c r="U170" s="116">
        <v>0</v>
      </c>
      <c r="V170" s="116">
        <v>0</v>
      </c>
      <c r="W170" s="116">
        <v>0</v>
      </c>
      <c r="X170" s="116">
        <v>0</v>
      </c>
      <c r="Y170" s="116">
        <v>0</v>
      </c>
      <c r="Z170" s="116">
        <v>0</v>
      </c>
      <c r="AA170" s="116">
        <v>0</v>
      </c>
      <c r="AB170" s="116">
        <v>0</v>
      </c>
      <c r="AC170" s="10" t="s">
        <v>87</v>
      </c>
    </row>
    <row r="171" spans="2:29" x14ac:dyDescent="0.15">
      <c r="B171" s="105" t="s">
        <v>645</v>
      </c>
      <c r="C171" s="105" t="s">
        <v>870</v>
      </c>
      <c r="D171" s="32" t="s">
        <v>747</v>
      </c>
      <c r="E171" s="33">
        <v>21697</v>
      </c>
      <c r="F171" s="33">
        <v>0</v>
      </c>
      <c r="G171" s="33">
        <v>1712</v>
      </c>
      <c r="H171" s="33">
        <v>23409</v>
      </c>
      <c r="I171" s="33">
        <v>15826</v>
      </c>
      <c r="J171" s="33">
        <v>0</v>
      </c>
      <c r="K171" s="33">
        <v>1711</v>
      </c>
      <c r="L171" s="33">
        <v>17537</v>
      </c>
      <c r="M171" s="33">
        <v>5871</v>
      </c>
      <c r="N171" s="33">
        <v>0</v>
      </c>
      <c r="O171" s="33">
        <v>1</v>
      </c>
      <c r="P171" s="33">
        <v>5872</v>
      </c>
      <c r="Q171" s="56">
        <v>0.74915630740313555</v>
      </c>
      <c r="R171" s="56">
        <v>0.72940959579665388</v>
      </c>
      <c r="S171" s="56" t="s">
        <v>41</v>
      </c>
      <c r="T171" s="56">
        <v>0.99941588785046731</v>
      </c>
      <c r="U171" s="116">
        <v>2242</v>
      </c>
      <c r="V171" s="116">
        <v>0</v>
      </c>
      <c r="W171" s="116">
        <v>0</v>
      </c>
      <c r="X171" s="116">
        <v>2242</v>
      </c>
      <c r="Y171" s="116">
        <v>663</v>
      </c>
      <c r="Z171" s="116">
        <v>2905</v>
      </c>
      <c r="AA171" s="116">
        <v>1493</v>
      </c>
      <c r="AB171" s="116">
        <v>686</v>
      </c>
      <c r="AC171" s="10" t="s">
        <v>87</v>
      </c>
    </row>
    <row r="172" spans="2:29" x14ac:dyDescent="0.15">
      <c r="B172" s="105" t="s">
        <v>646</v>
      </c>
      <c r="C172" s="105" t="s">
        <v>870</v>
      </c>
      <c r="D172" s="32" t="s">
        <v>647</v>
      </c>
      <c r="E172" s="33">
        <v>10582</v>
      </c>
      <c r="F172" s="33">
        <v>0</v>
      </c>
      <c r="G172" s="33">
        <v>6701</v>
      </c>
      <c r="H172" s="33">
        <v>17283</v>
      </c>
      <c r="I172" s="33">
        <v>7375</v>
      </c>
      <c r="J172" s="33">
        <v>0</v>
      </c>
      <c r="K172" s="33">
        <v>5685</v>
      </c>
      <c r="L172" s="33">
        <v>13060</v>
      </c>
      <c r="M172" s="33">
        <v>3207</v>
      </c>
      <c r="N172" s="33">
        <v>0</v>
      </c>
      <c r="O172" s="33">
        <v>1016</v>
      </c>
      <c r="P172" s="33">
        <v>4223</v>
      </c>
      <c r="Q172" s="56">
        <v>0.75565584678585895</v>
      </c>
      <c r="R172" s="56">
        <v>0.69693819693819692</v>
      </c>
      <c r="S172" s="56" t="s">
        <v>41</v>
      </c>
      <c r="T172" s="56">
        <v>0.84838083868079395</v>
      </c>
      <c r="U172" s="116">
        <v>1768</v>
      </c>
      <c r="V172" s="116">
        <v>0</v>
      </c>
      <c r="W172" s="116">
        <v>0</v>
      </c>
      <c r="X172" s="116">
        <v>1768</v>
      </c>
      <c r="Y172" s="116">
        <v>513</v>
      </c>
      <c r="Z172" s="116">
        <v>2281</v>
      </c>
      <c r="AA172" s="116">
        <v>824</v>
      </c>
      <c r="AB172" s="116">
        <v>413</v>
      </c>
      <c r="AC172" s="10" t="s">
        <v>87</v>
      </c>
    </row>
    <row r="173" spans="2:29" x14ac:dyDescent="0.15">
      <c r="B173" s="105" t="s">
        <v>580</v>
      </c>
      <c r="C173" s="105" t="s">
        <v>870</v>
      </c>
      <c r="D173" s="32" t="s">
        <v>581</v>
      </c>
      <c r="E173" s="33">
        <v>0</v>
      </c>
      <c r="F173" s="33">
        <v>0</v>
      </c>
      <c r="G173" s="33">
        <v>4909</v>
      </c>
      <c r="H173" s="33">
        <v>4909</v>
      </c>
      <c r="I173" s="33">
        <v>0</v>
      </c>
      <c r="J173" s="33">
        <v>0</v>
      </c>
      <c r="K173" s="33">
        <v>4664</v>
      </c>
      <c r="L173" s="33">
        <v>4664</v>
      </c>
      <c r="M173" s="33">
        <v>0</v>
      </c>
      <c r="N173" s="33">
        <v>0</v>
      </c>
      <c r="O173" s="33">
        <v>245</v>
      </c>
      <c r="P173" s="33">
        <v>245</v>
      </c>
      <c r="Q173" s="56">
        <v>0.95009166836422898</v>
      </c>
      <c r="R173" s="56" t="s">
        <v>41</v>
      </c>
      <c r="S173" s="56" t="s">
        <v>41</v>
      </c>
      <c r="T173" s="56">
        <v>0.95009166836422898</v>
      </c>
      <c r="U173" s="116">
        <v>0</v>
      </c>
      <c r="V173" s="116">
        <v>0</v>
      </c>
      <c r="W173" s="116">
        <v>0</v>
      </c>
      <c r="X173" s="116">
        <v>0</v>
      </c>
      <c r="Y173" s="116">
        <v>0</v>
      </c>
      <c r="Z173" s="116">
        <v>0</v>
      </c>
      <c r="AA173" s="116">
        <v>0</v>
      </c>
      <c r="AB173" s="116">
        <v>0</v>
      </c>
      <c r="AC173" s="10" t="s">
        <v>830</v>
      </c>
    </row>
    <row r="174" spans="2:29" x14ac:dyDescent="0.15">
      <c r="B174" s="105" t="s">
        <v>582</v>
      </c>
      <c r="C174" s="105" t="s">
        <v>870</v>
      </c>
      <c r="D174" s="32" t="s">
        <v>583</v>
      </c>
      <c r="E174" s="33">
        <v>15665</v>
      </c>
      <c r="F174" s="33">
        <v>1472</v>
      </c>
      <c r="G174" s="33">
        <v>2856</v>
      </c>
      <c r="H174" s="33">
        <v>19993</v>
      </c>
      <c r="I174" s="33">
        <v>11573</v>
      </c>
      <c r="J174" s="33">
        <v>1472</v>
      </c>
      <c r="K174" s="33">
        <v>2856</v>
      </c>
      <c r="L174" s="33">
        <v>15901</v>
      </c>
      <c r="M174" s="33">
        <v>4092</v>
      </c>
      <c r="N174" s="33">
        <v>0</v>
      </c>
      <c r="O174" s="33">
        <v>0</v>
      </c>
      <c r="P174" s="33">
        <v>4092</v>
      </c>
      <c r="Q174" s="56">
        <v>0.79532836492772474</v>
      </c>
      <c r="R174" s="56">
        <v>0.7387807213533355</v>
      </c>
      <c r="S174" s="56">
        <v>1</v>
      </c>
      <c r="T174" s="56">
        <v>1</v>
      </c>
      <c r="U174" s="116">
        <v>5677</v>
      </c>
      <c r="V174" s="116">
        <v>117</v>
      </c>
      <c r="W174" s="116">
        <v>0</v>
      </c>
      <c r="X174" s="116">
        <v>5794</v>
      </c>
      <c r="Y174" s="116">
        <v>4224</v>
      </c>
      <c r="Z174" s="116">
        <v>10018</v>
      </c>
      <c r="AA174" s="116">
        <v>306</v>
      </c>
      <c r="AB174" s="116">
        <v>8</v>
      </c>
      <c r="AC174" s="10" t="s">
        <v>830</v>
      </c>
    </row>
    <row r="175" spans="2:29" x14ac:dyDescent="0.15">
      <c r="B175" s="105" t="s">
        <v>630</v>
      </c>
      <c r="C175" s="105" t="s">
        <v>870</v>
      </c>
      <c r="D175" s="32" t="s">
        <v>832</v>
      </c>
      <c r="E175" s="33">
        <v>0</v>
      </c>
      <c r="F175" s="33">
        <v>0</v>
      </c>
      <c r="G175" s="33">
        <v>3185</v>
      </c>
      <c r="H175" s="33">
        <v>3185</v>
      </c>
      <c r="I175" s="33">
        <v>0</v>
      </c>
      <c r="J175" s="33">
        <v>0</v>
      </c>
      <c r="K175" s="33">
        <v>2921</v>
      </c>
      <c r="L175" s="33">
        <v>2921</v>
      </c>
      <c r="M175" s="33">
        <v>0</v>
      </c>
      <c r="N175" s="33">
        <v>0</v>
      </c>
      <c r="O175" s="33">
        <v>264</v>
      </c>
      <c r="P175" s="33">
        <v>264</v>
      </c>
      <c r="Q175" s="56">
        <v>0.91711145996860277</v>
      </c>
      <c r="R175" s="56" t="s">
        <v>41</v>
      </c>
      <c r="S175" s="56" t="s">
        <v>41</v>
      </c>
      <c r="T175" s="56">
        <v>0.91711145996860277</v>
      </c>
      <c r="U175" s="116">
        <v>0</v>
      </c>
      <c r="V175" s="116">
        <v>0</v>
      </c>
      <c r="W175" s="116">
        <v>0</v>
      </c>
      <c r="X175" s="116">
        <v>0</v>
      </c>
      <c r="Y175" s="116">
        <v>0</v>
      </c>
      <c r="Z175" s="116">
        <v>0</v>
      </c>
      <c r="AA175" s="116">
        <v>0</v>
      </c>
      <c r="AB175" s="116">
        <v>0</v>
      </c>
      <c r="AC175" s="10" t="s">
        <v>75</v>
      </c>
    </row>
    <row r="176" spans="2:29" x14ac:dyDescent="0.15">
      <c r="B176" s="105" t="s">
        <v>628</v>
      </c>
      <c r="C176" s="105" t="s">
        <v>870</v>
      </c>
      <c r="D176" s="32" t="s">
        <v>867</v>
      </c>
      <c r="E176" s="33">
        <v>13784</v>
      </c>
      <c r="F176" s="33">
        <v>1176</v>
      </c>
      <c r="G176" s="33">
        <v>4331</v>
      </c>
      <c r="H176" s="33">
        <v>19291</v>
      </c>
      <c r="I176" s="33">
        <v>8297</v>
      </c>
      <c r="J176" s="33">
        <v>1152</v>
      </c>
      <c r="K176" s="33">
        <v>4310</v>
      </c>
      <c r="L176" s="33">
        <v>13759</v>
      </c>
      <c r="M176" s="33">
        <v>5487</v>
      </c>
      <c r="N176" s="33">
        <v>24</v>
      </c>
      <c r="O176" s="33">
        <v>21</v>
      </c>
      <c r="P176" s="33">
        <v>5532</v>
      </c>
      <c r="Q176" s="56">
        <v>0.71323415064019491</v>
      </c>
      <c r="R176" s="56">
        <v>0.6019297736506094</v>
      </c>
      <c r="S176" s="56">
        <v>0.97959183673469385</v>
      </c>
      <c r="T176" s="56">
        <v>0.99515123528053562</v>
      </c>
      <c r="U176" s="116">
        <v>3138</v>
      </c>
      <c r="V176" s="116">
        <v>0</v>
      </c>
      <c r="W176" s="116">
        <v>0</v>
      </c>
      <c r="X176" s="116">
        <v>3138</v>
      </c>
      <c r="Y176" s="116">
        <v>2676</v>
      </c>
      <c r="Z176" s="116">
        <v>5814</v>
      </c>
      <c r="AA176" s="116">
        <v>1873</v>
      </c>
      <c r="AB176" s="116">
        <v>1202</v>
      </c>
      <c r="AC176" s="10" t="s">
        <v>75</v>
      </c>
    </row>
    <row r="177" spans="2:29" x14ac:dyDescent="0.15">
      <c r="B177" s="105" t="s">
        <v>632</v>
      </c>
      <c r="C177" s="105" t="s">
        <v>870</v>
      </c>
      <c r="D177" s="32" t="s">
        <v>833</v>
      </c>
      <c r="E177" s="33">
        <v>0</v>
      </c>
      <c r="F177" s="33">
        <v>0</v>
      </c>
      <c r="G177" s="33">
        <v>5701</v>
      </c>
      <c r="H177" s="33">
        <v>5701</v>
      </c>
      <c r="I177" s="33">
        <v>0</v>
      </c>
      <c r="J177" s="33">
        <v>0</v>
      </c>
      <c r="K177" s="33">
        <v>5519</v>
      </c>
      <c r="L177" s="33">
        <v>5519</v>
      </c>
      <c r="M177" s="33">
        <v>0</v>
      </c>
      <c r="N177" s="33">
        <v>0</v>
      </c>
      <c r="O177" s="33">
        <v>182</v>
      </c>
      <c r="P177" s="33">
        <v>182</v>
      </c>
      <c r="Q177" s="56">
        <v>0.9680757761796176</v>
      </c>
      <c r="R177" s="56" t="s">
        <v>41</v>
      </c>
      <c r="S177" s="56" t="s">
        <v>41</v>
      </c>
      <c r="T177" s="56">
        <v>0.9680757761796176</v>
      </c>
      <c r="U177" s="116">
        <v>0</v>
      </c>
      <c r="V177" s="116">
        <v>0</v>
      </c>
      <c r="W177" s="116">
        <v>0</v>
      </c>
      <c r="X177" s="116">
        <v>0</v>
      </c>
      <c r="Y177" s="116">
        <v>0</v>
      </c>
      <c r="Z177" s="116">
        <v>0</v>
      </c>
      <c r="AA177" s="116">
        <v>0</v>
      </c>
      <c r="AB177" s="116">
        <v>0</v>
      </c>
      <c r="AC177" s="10" t="s">
        <v>75</v>
      </c>
    </row>
    <row r="178" spans="2:29" x14ac:dyDescent="0.15">
      <c r="B178" s="105" t="s">
        <v>636</v>
      </c>
      <c r="C178" s="105" t="s">
        <v>870</v>
      </c>
      <c r="D178" s="32" t="s">
        <v>834</v>
      </c>
      <c r="E178" s="33">
        <v>0</v>
      </c>
      <c r="F178" s="33">
        <v>0</v>
      </c>
      <c r="G178" s="33">
        <v>5733</v>
      </c>
      <c r="H178" s="33">
        <v>5733</v>
      </c>
      <c r="I178" s="33">
        <v>0</v>
      </c>
      <c r="J178" s="33">
        <v>0</v>
      </c>
      <c r="K178" s="33">
        <v>5589</v>
      </c>
      <c r="L178" s="33">
        <v>5589</v>
      </c>
      <c r="M178" s="33">
        <v>0</v>
      </c>
      <c r="N178" s="33">
        <v>0</v>
      </c>
      <c r="O178" s="33">
        <v>144</v>
      </c>
      <c r="P178" s="33">
        <v>144</v>
      </c>
      <c r="Q178" s="56">
        <v>0.97488226059654626</v>
      </c>
      <c r="R178" s="56" t="s">
        <v>41</v>
      </c>
      <c r="S178" s="56" t="s">
        <v>41</v>
      </c>
      <c r="T178" s="56">
        <v>0.97488226059654626</v>
      </c>
      <c r="U178" s="116">
        <v>0</v>
      </c>
      <c r="V178" s="116">
        <v>0</v>
      </c>
      <c r="W178" s="116">
        <v>0</v>
      </c>
      <c r="X178" s="116">
        <v>0</v>
      </c>
      <c r="Y178" s="116">
        <v>0</v>
      </c>
      <c r="Z178" s="116">
        <v>0</v>
      </c>
      <c r="AA178" s="116">
        <v>0</v>
      </c>
      <c r="AB178" s="116">
        <v>0</v>
      </c>
      <c r="AC178" s="10" t="s">
        <v>75</v>
      </c>
    </row>
    <row r="179" spans="2:29" x14ac:dyDescent="0.15">
      <c r="B179" s="105" t="s">
        <v>674</v>
      </c>
      <c r="C179" s="105" t="s">
        <v>870</v>
      </c>
      <c r="D179" s="32" t="s">
        <v>675</v>
      </c>
      <c r="E179" s="33">
        <v>0</v>
      </c>
      <c r="F179" s="33">
        <v>0</v>
      </c>
      <c r="G179" s="33">
        <v>1433</v>
      </c>
      <c r="H179" s="33">
        <v>1433</v>
      </c>
      <c r="I179" s="33">
        <v>0</v>
      </c>
      <c r="J179" s="33">
        <v>0</v>
      </c>
      <c r="K179" s="33">
        <v>1432</v>
      </c>
      <c r="L179" s="33">
        <v>1432</v>
      </c>
      <c r="M179" s="33">
        <v>0</v>
      </c>
      <c r="N179" s="33">
        <v>0</v>
      </c>
      <c r="O179" s="33">
        <v>1</v>
      </c>
      <c r="P179" s="33">
        <v>1</v>
      </c>
      <c r="Q179" s="56">
        <v>0.99930216329378929</v>
      </c>
      <c r="R179" s="56" t="s">
        <v>41</v>
      </c>
      <c r="S179" s="56" t="s">
        <v>41</v>
      </c>
      <c r="T179" s="56">
        <v>0.99930216329378929</v>
      </c>
      <c r="U179" s="116">
        <v>0</v>
      </c>
      <c r="V179" s="116">
        <v>0</v>
      </c>
      <c r="W179" s="116">
        <v>3</v>
      </c>
      <c r="X179" s="116">
        <v>3</v>
      </c>
      <c r="Y179" s="116">
        <v>542</v>
      </c>
      <c r="Z179" s="116">
        <v>545</v>
      </c>
      <c r="AA179" s="116">
        <v>0</v>
      </c>
      <c r="AB179" s="116">
        <v>0</v>
      </c>
      <c r="AC179" s="10" t="s">
        <v>836</v>
      </c>
    </row>
    <row r="180" spans="2:29" x14ac:dyDescent="0.15">
      <c r="B180" s="105" t="s">
        <v>584</v>
      </c>
      <c r="C180" s="105" t="s">
        <v>870</v>
      </c>
      <c r="D180" s="32" t="s">
        <v>585</v>
      </c>
      <c r="E180" s="33">
        <v>12872</v>
      </c>
      <c r="F180" s="33">
        <v>2923</v>
      </c>
      <c r="G180" s="33">
        <v>3494</v>
      </c>
      <c r="H180" s="33">
        <v>19289</v>
      </c>
      <c r="I180" s="33">
        <v>8100</v>
      </c>
      <c r="J180" s="33">
        <v>2790</v>
      </c>
      <c r="K180" s="33">
        <v>3494</v>
      </c>
      <c r="L180" s="33">
        <v>14384</v>
      </c>
      <c r="M180" s="33">
        <v>4772</v>
      </c>
      <c r="N180" s="33">
        <v>133</v>
      </c>
      <c r="O180" s="33">
        <v>0</v>
      </c>
      <c r="P180" s="33">
        <v>4905</v>
      </c>
      <c r="Q180" s="56">
        <v>0.74570999014982631</v>
      </c>
      <c r="R180" s="56">
        <v>0.62927284027346175</v>
      </c>
      <c r="S180" s="56">
        <v>0.95449880260006847</v>
      </c>
      <c r="T180" s="56">
        <v>1</v>
      </c>
      <c r="U180" s="116">
        <v>2267</v>
      </c>
      <c r="V180" s="116">
        <v>0</v>
      </c>
      <c r="W180" s="116">
        <v>0</v>
      </c>
      <c r="X180" s="116">
        <v>2267</v>
      </c>
      <c r="Y180" s="116">
        <v>328</v>
      </c>
      <c r="Z180" s="116">
        <v>2595</v>
      </c>
      <c r="AA180" s="116">
        <v>730</v>
      </c>
      <c r="AB180" s="116">
        <v>0</v>
      </c>
      <c r="AC180" s="10" t="s">
        <v>830</v>
      </c>
    </row>
    <row r="181" spans="2:29" x14ac:dyDescent="0.15">
      <c r="B181" s="105" t="s">
        <v>659</v>
      </c>
      <c r="C181" s="105" t="s">
        <v>870</v>
      </c>
      <c r="D181" s="32" t="s">
        <v>860</v>
      </c>
      <c r="E181" s="33">
        <v>7978</v>
      </c>
      <c r="F181" s="33">
        <v>0</v>
      </c>
      <c r="G181" s="33">
        <v>2477</v>
      </c>
      <c r="H181" s="33">
        <v>10455</v>
      </c>
      <c r="I181" s="33">
        <v>5178</v>
      </c>
      <c r="J181" s="33">
        <v>0</v>
      </c>
      <c r="K181" s="33">
        <v>2476</v>
      </c>
      <c r="L181" s="33">
        <v>7654</v>
      </c>
      <c r="M181" s="33">
        <v>2800</v>
      </c>
      <c r="N181" s="33">
        <v>0</v>
      </c>
      <c r="O181" s="33">
        <v>1</v>
      </c>
      <c r="P181" s="33">
        <v>2801</v>
      </c>
      <c r="Q181" s="56">
        <v>0.73208990913438543</v>
      </c>
      <c r="R181" s="56">
        <v>0.64903484582602156</v>
      </c>
      <c r="S181" s="56" t="s">
        <v>41</v>
      </c>
      <c r="T181" s="56">
        <v>0.99959628582963267</v>
      </c>
      <c r="U181" s="116">
        <v>2308</v>
      </c>
      <c r="V181" s="116">
        <v>0</v>
      </c>
      <c r="W181" s="116">
        <v>0</v>
      </c>
      <c r="X181" s="116">
        <v>2308</v>
      </c>
      <c r="Y181" s="116">
        <v>820</v>
      </c>
      <c r="Z181" s="116">
        <v>3128</v>
      </c>
      <c r="AA181" s="116">
        <v>460</v>
      </c>
      <c r="AB181" s="116">
        <v>24</v>
      </c>
      <c r="AC181" s="10" t="s">
        <v>836</v>
      </c>
    </row>
    <row r="182" spans="2:29" x14ac:dyDescent="0.15">
      <c r="B182" s="105" t="s">
        <v>667</v>
      </c>
      <c r="C182" s="105" t="s">
        <v>870</v>
      </c>
      <c r="D182" s="32" t="s">
        <v>748</v>
      </c>
      <c r="E182" s="33">
        <v>11041</v>
      </c>
      <c r="F182" s="33">
        <v>0</v>
      </c>
      <c r="G182" s="33">
        <v>0</v>
      </c>
      <c r="H182" s="33">
        <v>11041</v>
      </c>
      <c r="I182" s="33">
        <v>5753</v>
      </c>
      <c r="J182" s="33">
        <v>0</v>
      </c>
      <c r="K182" s="33">
        <v>0</v>
      </c>
      <c r="L182" s="33">
        <v>5753</v>
      </c>
      <c r="M182" s="33">
        <v>5288</v>
      </c>
      <c r="N182" s="33">
        <v>0</v>
      </c>
      <c r="O182" s="33">
        <v>0</v>
      </c>
      <c r="P182" s="33">
        <v>5288</v>
      </c>
      <c r="Q182" s="56">
        <v>0.52105787519246449</v>
      </c>
      <c r="R182" s="56">
        <v>0.52105787519246449</v>
      </c>
      <c r="S182" s="56" t="s">
        <v>41</v>
      </c>
      <c r="T182" s="56" t="s">
        <v>41</v>
      </c>
      <c r="U182" s="116">
        <v>3314</v>
      </c>
      <c r="V182" s="116">
        <v>0</v>
      </c>
      <c r="W182" s="116">
        <v>0</v>
      </c>
      <c r="X182" s="116">
        <v>3314</v>
      </c>
      <c r="Y182" s="116">
        <v>1018</v>
      </c>
      <c r="Z182" s="116">
        <v>4332</v>
      </c>
      <c r="AA182" s="116">
        <v>1083</v>
      </c>
      <c r="AB182" s="116">
        <v>432</v>
      </c>
      <c r="AC182" s="10" t="s">
        <v>836</v>
      </c>
    </row>
    <row r="183" spans="2:29" x14ac:dyDescent="0.15">
      <c r="B183" s="105" t="s">
        <v>676</v>
      </c>
      <c r="C183" s="105" t="s">
        <v>870</v>
      </c>
      <c r="D183" s="32" t="s">
        <v>677</v>
      </c>
      <c r="E183" s="33">
        <v>0</v>
      </c>
      <c r="F183" s="33">
        <v>0</v>
      </c>
      <c r="G183" s="33">
        <v>13126</v>
      </c>
      <c r="H183" s="33">
        <v>13126</v>
      </c>
      <c r="I183" s="33">
        <v>0</v>
      </c>
      <c r="J183" s="33">
        <v>0</v>
      </c>
      <c r="K183" s="33">
        <v>12637</v>
      </c>
      <c r="L183" s="33">
        <v>12637</v>
      </c>
      <c r="M183" s="33">
        <v>0</v>
      </c>
      <c r="N183" s="33">
        <v>0</v>
      </c>
      <c r="O183" s="33">
        <v>489</v>
      </c>
      <c r="P183" s="33">
        <v>489</v>
      </c>
      <c r="Q183" s="56">
        <v>0.96274569556605216</v>
      </c>
      <c r="R183" s="56" t="s">
        <v>41</v>
      </c>
      <c r="S183" s="56" t="s">
        <v>41</v>
      </c>
      <c r="T183" s="56">
        <v>0.96274569556605216</v>
      </c>
      <c r="U183" s="116">
        <v>0</v>
      </c>
      <c r="V183" s="116">
        <v>0</v>
      </c>
      <c r="W183" s="116">
        <v>0</v>
      </c>
      <c r="X183" s="116">
        <v>0</v>
      </c>
      <c r="Y183" s="116">
        <v>0</v>
      </c>
      <c r="Z183" s="116">
        <v>0</v>
      </c>
      <c r="AA183" s="116">
        <v>0</v>
      </c>
      <c r="AB183" s="116">
        <v>0</v>
      </c>
      <c r="AC183" s="10" t="s">
        <v>836</v>
      </c>
    </row>
    <row r="184" spans="2:29" x14ac:dyDescent="0.15">
      <c r="B184" s="105" t="s">
        <v>637</v>
      </c>
      <c r="C184" s="105" t="s">
        <v>870</v>
      </c>
      <c r="D184" s="32" t="s">
        <v>638</v>
      </c>
      <c r="E184" s="33">
        <v>12362</v>
      </c>
      <c r="F184" s="33">
        <v>1182</v>
      </c>
      <c r="G184" s="33">
        <v>0</v>
      </c>
      <c r="H184" s="33">
        <v>13544</v>
      </c>
      <c r="I184" s="33">
        <v>8411</v>
      </c>
      <c r="J184" s="33">
        <v>1167</v>
      </c>
      <c r="K184" s="33">
        <v>0</v>
      </c>
      <c r="L184" s="33">
        <v>9578</v>
      </c>
      <c r="M184" s="33">
        <v>3951</v>
      </c>
      <c r="N184" s="33">
        <v>15</v>
      </c>
      <c r="O184" s="33">
        <v>0</v>
      </c>
      <c r="P184" s="33">
        <v>3966</v>
      </c>
      <c r="Q184" s="56">
        <v>0.70717660956881279</v>
      </c>
      <c r="R184" s="56">
        <v>0.68039152240737744</v>
      </c>
      <c r="S184" s="56">
        <v>0.98730964467005078</v>
      </c>
      <c r="T184" s="56" t="s">
        <v>41</v>
      </c>
      <c r="U184" s="116">
        <v>3804</v>
      </c>
      <c r="V184" s="116">
        <v>7</v>
      </c>
      <c r="W184" s="116">
        <v>0</v>
      </c>
      <c r="X184" s="116">
        <v>3811</v>
      </c>
      <c r="Y184" s="116">
        <v>1624</v>
      </c>
      <c r="Z184" s="116">
        <v>5435</v>
      </c>
      <c r="AA184" s="116">
        <v>589</v>
      </c>
      <c r="AB184" s="116">
        <v>14</v>
      </c>
      <c r="AC184" s="10" t="s">
        <v>75</v>
      </c>
    </row>
    <row r="185" spans="2:29" x14ac:dyDescent="0.15">
      <c r="B185" s="105" t="s">
        <v>678</v>
      </c>
      <c r="C185" s="105" t="s">
        <v>870</v>
      </c>
      <c r="D185" s="32" t="s">
        <v>749</v>
      </c>
      <c r="E185" s="33">
        <v>30362</v>
      </c>
      <c r="F185" s="33">
        <v>1563</v>
      </c>
      <c r="G185" s="33">
        <v>1900</v>
      </c>
      <c r="H185" s="33">
        <v>33825</v>
      </c>
      <c r="I185" s="33">
        <v>17422</v>
      </c>
      <c r="J185" s="33">
        <v>1399</v>
      </c>
      <c r="K185" s="33">
        <v>1683</v>
      </c>
      <c r="L185" s="33">
        <v>20504</v>
      </c>
      <c r="M185" s="33">
        <v>12940</v>
      </c>
      <c r="N185" s="33">
        <v>164</v>
      </c>
      <c r="O185" s="33">
        <v>217</v>
      </c>
      <c r="P185" s="33">
        <v>13321</v>
      </c>
      <c r="Q185" s="56">
        <v>0.60617886178861791</v>
      </c>
      <c r="R185" s="56">
        <v>0.57380936697187268</v>
      </c>
      <c r="S185" s="56">
        <v>0.8950735764555342</v>
      </c>
      <c r="T185" s="56">
        <v>0.88578947368421057</v>
      </c>
      <c r="U185" s="116">
        <v>8244</v>
      </c>
      <c r="V185" s="116">
        <v>18</v>
      </c>
      <c r="W185" s="116">
        <v>13</v>
      </c>
      <c r="X185" s="116">
        <v>8275</v>
      </c>
      <c r="Y185" s="116">
        <v>1652</v>
      </c>
      <c r="Z185" s="116">
        <v>9927</v>
      </c>
      <c r="AA185" s="116">
        <v>1719</v>
      </c>
      <c r="AB185" s="116">
        <v>840</v>
      </c>
      <c r="AC185" s="10" t="s">
        <v>836</v>
      </c>
    </row>
    <row r="186" spans="2:29" x14ac:dyDescent="0.15">
      <c r="B186" s="105" t="s">
        <v>640</v>
      </c>
      <c r="C186" s="105" t="s">
        <v>870</v>
      </c>
      <c r="D186" s="32" t="s">
        <v>786</v>
      </c>
      <c r="E186" s="33">
        <v>0</v>
      </c>
      <c r="F186" s="33">
        <v>0</v>
      </c>
      <c r="G186" s="33">
        <v>5085</v>
      </c>
      <c r="H186" s="33">
        <v>5085</v>
      </c>
      <c r="I186" s="33">
        <v>0</v>
      </c>
      <c r="J186" s="33">
        <v>0</v>
      </c>
      <c r="K186" s="33">
        <v>5085</v>
      </c>
      <c r="L186" s="33">
        <v>5085</v>
      </c>
      <c r="M186" s="33">
        <v>0</v>
      </c>
      <c r="N186" s="33">
        <v>0</v>
      </c>
      <c r="O186" s="33">
        <v>0</v>
      </c>
      <c r="P186" s="33">
        <v>0</v>
      </c>
      <c r="Q186" s="56">
        <v>1</v>
      </c>
      <c r="R186" s="56" t="s">
        <v>41</v>
      </c>
      <c r="S186" s="56" t="s">
        <v>41</v>
      </c>
      <c r="T186" s="56">
        <v>1</v>
      </c>
      <c r="U186" s="116">
        <v>0</v>
      </c>
      <c r="V186" s="116">
        <v>0</v>
      </c>
      <c r="W186" s="116">
        <v>0</v>
      </c>
      <c r="X186" s="116">
        <v>0</v>
      </c>
      <c r="Y186" s="116">
        <v>0</v>
      </c>
      <c r="Z186" s="116">
        <v>0</v>
      </c>
      <c r="AA186" s="116">
        <v>0</v>
      </c>
      <c r="AB186" s="116">
        <v>0</v>
      </c>
      <c r="AC186" s="10" t="s">
        <v>87</v>
      </c>
    </row>
    <row r="187" spans="2:29" x14ac:dyDescent="0.15">
      <c r="B187" s="105" t="s">
        <v>664</v>
      </c>
      <c r="C187" s="105" t="s">
        <v>870</v>
      </c>
      <c r="D187" s="32" t="s">
        <v>666</v>
      </c>
      <c r="E187" s="33">
        <v>0</v>
      </c>
      <c r="F187" s="33">
        <v>0</v>
      </c>
      <c r="G187" s="33">
        <v>2773</v>
      </c>
      <c r="H187" s="33">
        <v>2773</v>
      </c>
      <c r="I187" s="33">
        <v>0</v>
      </c>
      <c r="J187" s="33">
        <v>0</v>
      </c>
      <c r="K187" s="33">
        <v>2689</v>
      </c>
      <c r="L187" s="33">
        <v>2689</v>
      </c>
      <c r="M187" s="33">
        <v>0</v>
      </c>
      <c r="N187" s="33">
        <v>0</v>
      </c>
      <c r="O187" s="33">
        <v>84</v>
      </c>
      <c r="P187" s="33">
        <v>84</v>
      </c>
      <c r="Q187" s="56">
        <v>0.96970789758384424</v>
      </c>
      <c r="R187" s="56" t="s">
        <v>41</v>
      </c>
      <c r="S187" s="56" t="s">
        <v>41</v>
      </c>
      <c r="T187" s="56">
        <v>0.96970789758384424</v>
      </c>
      <c r="U187" s="116">
        <v>0</v>
      </c>
      <c r="V187" s="116">
        <v>0</v>
      </c>
      <c r="W187" s="116">
        <v>0</v>
      </c>
      <c r="X187" s="116">
        <v>0</v>
      </c>
      <c r="Y187" s="116">
        <v>0</v>
      </c>
      <c r="Z187" s="116">
        <v>0</v>
      </c>
      <c r="AA187" s="116">
        <v>0</v>
      </c>
      <c r="AB187" s="116">
        <v>0</v>
      </c>
      <c r="AC187" s="10" t="s">
        <v>836</v>
      </c>
    </row>
    <row r="188" spans="2:29" x14ac:dyDescent="0.15">
      <c r="B188" s="105" t="s">
        <v>569</v>
      </c>
      <c r="C188" s="105" t="s">
        <v>871</v>
      </c>
      <c r="D188" s="32" t="s">
        <v>864</v>
      </c>
      <c r="E188" s="33">
        <v>26019</v>
      </c>
      <c r="F188" s="33">
        <v>2648</v>
      </c>
      <c r="G188" s="33">
        <v>0</v>
      </c>
      <c r="H188" s="33">
        <v>28667</v>
      </c>
      <c r="I188" s="33">
        <v>17631</v>
      </c>
      <c r="J188" s="33">
        <v>2342</v>
      </c>
      <c r="K188" s="33">
        <v>0</v>
      </c>
      <c r="L188" s="33">
        <v>19973</v>
      </c>
      <c r="M188" s="33">
        <v>8388</v>
      </c>
      <c r="N188" s="33">
        <v>306</v>
      </c>
      <c r="O188" s="33">
        <v>0</v>
      </c>
      <c r="P188" s="33">
        <v>8694</v>
      </c>
      <c r="Q188" s="56">
        <v>0.69672445669236405</v>
      </c>
      <c r="R188" s="56">
        <v>0.67762020062262196</v>
      </c>
      <c r="S188" s="56">
        <v>0.8844410876132931</v>
      </c>
      <c r="T188" s="56" t="s">
        <v>41</v>
      </c>
      <c r="U188" s="116">
        <v>8606</v>
      </c>
      <c r="V188" s="116">
        <v>20</v>
      </c>
      <c r="W188" s="116">
        <v>0</v>
      </c>
      <c r="X188" s="116">
        <v>8626</v>
      </c>
      <c r="Y188" s="116">
        <v>4081</v>
      </c>
      <c r="Z188" s="116">
        <v>12707</v>
      </c>
      <c r="AA188" s="116">
        <v>1915</v>
      </c>
      <c r="AB188" s="116">
        <v>620</v>
      </c>
      <c r="AC188" s="10" t="s">
        <v>49</v>
      </c>
    </row>
    <row r="189" spans="2:29" x14ac:dyDescent="0.15">
      <c r="B189" s="105" t="s">
        <v>798</v>
      </c>
      <c r="C189" s="105" t="s">
        <v>871</v>
      </c>
      <c r="D189" s="32" t="s">
        <v>794</v>
      </c>
      <c r="E189" s="33">
        <v>0</v>
      </c>
      <c r="F189" s="33">
        <v>0</v>
      </c>
      <c r="G189" s="33">
        <v>1811</v>
      </c>
      <c r="H189" s="33">
        <v>1811</v>
      </c>
      <c r="I189" s="33">
        <v>0</v>
      </c>
      <c r="J189" s="33">
        <v>0</v>
      </c>
      <c r="K189" s="33">
        <v>1782</v>
      </c>
      <c r="L189" s="33">
        <v>1782</v>
      </c>
      <c r="M189" s="33">
        <v>0</v>
      </c>
      <c r="N189" s="33">
        <v>0</v>
      </c>
      <c r="O189" s="33">
        <v>29</v>
      </c>
      <c r="P189" s="33">
        <v>29</v>
      </c>
      <c r="Q189" s="56">
        <v>0.98398674765323024</v>
      </c>
      <c r="R189" s="56" t="s">
        <v>41</v>
      </c>
      <c r="S189" s="56" t="s">
        <v>41</v>
      </c>
      <c r="T189" s="56">
        <v>0.98398674765323024</v>
      </c>
      <c r="U189" s="116">
        <v>0</v>
      </c>
      <c r="V189" s="116">
        <v>0</v>
      </c>
      <c r="W189" s="116">
        <v>0</v>
      </c>
      <c r="X189" s="116">
        <v>0</v>
      </c>
      <c r="Y189" s="116">
        <v>0</v>
      </c>
      <c r="Z189" s="116">
        <v>0</v>
      </c>
      <c r="AA189" s="116">
        <v>0</v>
      </c>
      <c r="AB189" s="116">
        <v>0</v>
      </c>
      <c r="AC189" s="10" t="s">
        <v>43</v>
      </c>
    </row>
    <row r="190" spans="2:29" x14ac:dyDescent="0.15">
      <c r="B190" s="105" t="s">
        <v>586</v>
      </c>
      <c r="C190" s="105" t="s">
        <v>871</v>
      </c>
      <c r="D190" s="32" t="s">
        <v>587</v>
      </c>
      <c r="E190" s="33">
        <v>0</v>
      </c>
      <c r="F190" s="33">
        <v>0</v>
      </c>
      <c r="G190" s="33">
        <v>0</v>
      </c>
      <c r="H190" s="33">
        <v>0</v>
      </c>
      <c r="I190" s="33">
        <v>0</v>
      </c>
      <c r="J190" s="33">
        <v>0</v>
      </c>
      <c r="K190" s="33">
        <v>0</v>
      </c>
      <c r="L190" s="33">
        <v>0</v>
      </c>
      <c r="M190" s="33">
        <v>0</v>
      </c>
      <c r="N190" s="33">
        <v>0</v>
      </c>
      <c r="O190" s="33">
        <v>0</v>
      </c>
      <c r="P190" s="33">
        <v>0</v>
      </c>
      <c r="Q190" s="56" t="s">
        <v>41</v>
      </c>
      <c r="R190" s="56" t="s">
        <v>41</v>
      </c>
      <c r="S190" s="56" t="s">
        <v>41</v>
      </c>
      <c r="T190" s="56" t="s">
        <v>41</v>
      </c>
      <c r="U190" s="116">
        <v>0</v>
      </c>
      <c r="V190" s="116">
        <v>0</v>
      </c>
      <c r="W190" s="116">
        <v>17</v>
      </c>
      <c r="X190" s="116">
        <v>17</v>
      </c>
      <c r="Y190" s="116">
        <v>60</v>
      </c>
      <c r="Z190" s="116">
        <v>77</v>
      </c>
      <c r="AA190" s="116">
        <v>0</v>
      </c>
      <c r="AB190" s="116">
        <v>0</v>
      </c>
      <c r="AC190" s="10" t="s">
        <v>57</v>
      </c>
    </row>
    <row r="191" spans="2:29" x14ac:dyDescent="0.15">
      <c r="B191" s="105" t="s">
        <v>603</v>
      </c>
      <c r="C191" s="105" t="s">
        <v>871</v>
      </c>
      <c r="D191" s="32" t="s">
        <v>604</v>
      </c>
      <c r="E191" s="33">
        <v>5255</v>
      </c>
      <c r="F191" s="33">
        <v>0</v>
      </c>
      <c r="G191" s="33">
        <v>4436</v>
      </c>
      <c r="H191" s="33">
        <v>9691</v>
      </c>
      <c r="I191" s="33">
        <v>3185</v>
      </c>
      <c r="J191" s="33">
        <v>0</v>
      </c>
      <c r="K191" s="33">
        <v>4430</v>
      </c>
      <c r="L191" s="33">
        <v>7615</v>
      </c>
      <c r="M191" s="33">
        <v>2070</v>
      </c>
      <c r="N191" s="33">
        <v>0</v>
      </c>
      <c r="O191" s="33">
        <v>6</v>
      </c>
      <c r="P191" s="33">
        <v>2076</v>
      </c>
      <c r="Q191" s="56">
        <v>0.78578062119492309</v>
      </c>
      <c r="R191" s="56">
        <v>0.6060894386298763</v>
      </c>
      <c r="S191" s="56" t="s">
        <v>41</v>
      </c>
      <c r="T191" s="56">
        <v>0.99864743011722268</v>
      </c>
      <c r="U191" s="116">
        <v>2121</v>
      </c>
      <c r="V191" s="116">
        <v>0</v>
      </c>
      <c r="W191" s="116">
        <v>0</v>
      </c>
      <c r="X191" s="116">
        <v>2121</v>
      </c>
      <c r="Y191" s="116">
        <v>554</v>
      </c>
      <c r="Z191" s="116">
        <v>2675</v>
      </c>
      <c r="AA191" s="116">
        <v>287</v>
      </c>
      <c r="AB191" s="116">
        <v>70</v>
      </c>
      <c r="AC191" s="10" t="s">
        <v>65</v>
      </c>
    </row>
    <row r="192" spans="2:29" x14ac:dyDescent="0.15">
      <c r="B192" s="105" t="s">
        <v>605</v>
      </c>
      <c r="C192" s="105" t="s">
        <v>871</v>
      </c>
      <c r="D192" s="32" t="s">
        <v>606</v>
      </c>
      <c r="E192" s="33">
        <v>0</v>
      </c>
      <c r="F192" s="33">
        <v>0</v>
      </c>
      <c r="G192" s="33">
        <v>0</v>
      </c>
      <c r="H192" s="33">
        <v>0</v>
      </c>
      <c r="I192" s="33">
        <v>0</v>
      </c>
      <c r="J192" s="33">
        <v>0</v>
      </c>
      <c r="K192" s="33">
        <v>0</v>
      </c>
      <c r="L192" s="33">
        <v>0</v>
      </c>
      <c r="M192" s="33">
        <v>0</v>
      </c>
      <c r="N192" s="33">
        <v>0</v>
      </c>
      <c r="O192" s="33">
        <v>0</v>
      </c>
      <c r="P192" s="33">
        <v>0</v>
      </c>
      <c r="Q192" s="56" t="s">
        <v>41</v>
      </c>
      <c r="R192" s="56" t="s">
        <v>41</v>
      </c>
      <c r="S192" s="56" t="s">
        <v>41</v>
      </c>
      <c r="T192" s="56" t="s">
        <v>41</v>
      </c>
      <c r="U192" s="116">
        <v>0</v>
      </c>
      <c r="V192" s="116">
        <v>0</v>
      </c>
      <c r="W192" s="116">
        <v>0</v>
      </c>
      <c r="X192" s="116">
        <v>0</v>
      </c>
      <c r="Y192" s="116">
        <v>2</v>
      </c>
      <c r="Z192" s="116">
        <v>2</v>
      </c>
      <c r="AA192" s="116">
        <v>0</v>
      </c>
      <c r="AB192" s="116">
        <v>0</v>
      </c>
      <c r="AC192" s="10" t="s">
        <v>65</v>
      </c>
    </row>
    <row r="193" spans="2:29" x14ac:dyDescent="0.15">
      <c r="B193" s="105" t="s">
        <v>619</v>
      </c>
      <c r="C193" s="105" t="s">
        <v>871</v>
      </c>
      <c r="D193" s="32" t="s">
        <v>831</v>
      </c>
      <c r="E193" s="33">
        <v>0</v>
      </c>
      <c r="F193" s="33">
        <v>0</v>
      </c>
      <c r="G193" s="33">
        <v>8345</v>
      </c>
      <c r="H193" s="33">
        <v>8345</v>
      </c>
      <c r="I193" s="33">
        <v>0</v>
      </c>
      <c r="J193" s="33">
        <v>0</v>
      </c>
      <c r="K193" s="33">
        <v>8020</v>
      </c>
      <c r="L193" s="33">
        <v>8020</v>
      </c>
      <c r="M193" s="33">
        <v>0</v>
      </c>
      <c r="N193" s="33">
        <v>0</v>
      </c>
      <c r="O193" s="33">
        <v>325</v>
      </c>
      <c r="P193" s="33">
        <v>325</v>
      </c>
      <c r="Q193" s="56">
        <v>0.96105452366686639</v>
      </c>
      <c r="R193" s="56" t="s">
        <v>41</v>
      </c>
      <c r="S193" s="56" t="s">
        <v>41</v>
      </c>
      <c r="T193" s="56">
        <v>0.96105452366686639</v>
      </c>
      <c r="U193" s="116">
        <v>0</v>
      </c>
      <c r="V193" s="116">
        <v>0</v>
      </c>
      <c r="W193" s="116">
        <v>0</v>
      </c>
      <c r="X193" s="116">
        <v>0</v>
      </c>
      <c r="Y193" s="116">
        <v>40</v>
      </c>
      <c r="Z193" s="116">
        <v>40</v>
      </c>
      <c r="AA193" s="116">
        <v>0</v>
      </c>
      <c r="AB193" s="116">
        <v>0</v>
      </c>
      <c r="AC193" s="10" t="s">
        <v>71</v>
      </c>
    </row>
    <row r="194" spans="2:29" x14ac:dyDescent="0.15">
      <c r="B194" s="105" t="s">
        <v>621</v>
      </c>
      <c r="C194" s="105" t="s">
        <v>871</v>
      </c>
      <c r="D194" s="32" t="s">
        <v>622</v>
      </c>
      <c r="E194" s="33">
        <v>14773</v>
      </c>
      <c r="F194" s="33">
        <v>0</v>
      </c>
      <c r="G194" s="33">
        <v>0</v>
      </c>
      <c r="H194" s="33">
        <v>14773</v>
      </c>
      <c r="I194" s="33">
        <v>9134</v>
      </c>
      <c r="J194" s="33">
        <v>0</v>
      </c>
      <c r="K194" s="33">
        <v>0</v>
      </c>
      <c r="L194" s="33">
        <v>9134</v>
      </c>
      <c r="M194" s="33">
        <v>5639</v>
      </c>
      <c r="N194" s="33">
        <v>0</v>
      </c>
      <c r="O194" s="33">
        <v>0</v>
      </c>
      <c r="P194" s="33">
        <v>5639</v>
      </c>
      <c r="Q194" s="56">
        <v>0.61829012387463611</v>
      </c>
      <c r="R194" s="56">
        <v>0.61829012387463611</v>
      </c>
      <c r="S194" s="56" t="s">
        <v>41</v>
      </c>
      <c r="T194" s="56" t="s">
        <v>41</v>
      </c>
      <c r="U194" s="116">
        <v>2579</v>
      </c>
      <c r="V194" s="116">
        <v>0</v>
      </c>
      <c r="W194" s="116">
        <v>0</v>
      </c>
      <c r="X194" s="116">
        <v>2579</v>
      </c>
      <c r="Y194" s="116">
        <v>2867</v>
      </c>
      <c r="Z194" s="116">
        <v>5446</v>
      </c>
      <c r="AA194" s="116">
        <v>808</v>
      </c>
      <c r="AB194" s="116">
        <v>454</v>
      </c>
      <c r="AC194" s="10" t="s">
        <v>71</v>
      </c>
    </row>
    <row r="195" spans="2:29" x14ac:dyDescent="0.15">
      <c r="B195" s="105" t="s">
        <v>552</v>
      </c>
      <c r="C195" s="105" t="s">
        <v>871</v>
      </c>
      <c r="D195" s="32" t="s">
        <v>553</v>
      </c>
      <c r="E195" s="33">
        <v>7991</v>
      </c>
      <c r="F195" s="33">
        <v>0</v>
      </c>
      <c r="G195" s="33">
        <v>4602</v>
      </c>
      <c r="H195" s="33">
        <v>12593</v>
      </c>
      <c r="I195" s="33">
        <v>4283</v>
      </c>
      <c r="J195" s="33">
        <v>0</v>
      </c>
      <c r="K195" s="33">
        <v>3974</v>
      </c>
      <c r="L195" s="33">
        <v>8257</v>
      </c>
      <c r="M195" s="33">
        <v>3708</v>
      </c>
      <c r="N195" s="33">
        <v>0</v>
      </c>
      <c r="O195" s="33">
        <v>628</v>
      </c>
      <c r="P195" s="33">
        <v>4336</v>
      </c>
      <c r="Q195" s="56">
        <v>0.65568172794409596</v>
      </c>
      <c r="R195" s="56">
        <v>0.53597797522212487</v>
      </c>
      <c r="S195" s="56" t="s">
        <v>41</v>
      </c>
      <c r="T195" s="56">
        <v>0.86353759235115168</v>
      </c>
      <c r="U195" s="116">
        <v>2746</v>
      </c>
      <c r="V195" s="116">
        <v>0</v>
      </c>
      <c r="W195" s="116">
        <v>0</v>
      </c>
      <c r="X195" s="116">
        <v>2746</v>
      </c>
      <c r="Y195" s="116">
        <v>1252</v>
      </c>
      <c r="Z195" s="116">
        <v>3998</v>
      </c>
      <c r="AA195" s="116">
        <v>1210</v>
      </c>
      <c r="AB195" s="116">
        <v>440</v>
      </c>
      <c r="AC195" s="10" t="s">
        <v>43</v>
      </c>
    </row>
    <row r="196" spans="2:29" x14ac:dyDescent="0.15">
      <c r="B196" s="105" t="s">
        <v>596</v>
      </c>
      <c r="C196" s="105" t="s">
        <v>871</v>
      </c>
      <c r="D196" s="32" t="s">
        <v>597</v>
      </c>
      <c r="E196" s="33">
        <v>0</v>
      </c>
      <c r="F196" s="33">
        <v>0</v>
      </c>
      <c r="G196" s="33">
        <v>67</v>
      </c>
      <c r="H196" s="33">
        <v>67</v>
      </c>
      <c r="I196" s="33">
        <v>0</v>
      </c>
      <c r="J196" s="33">
        <v>0</v>
      </c>
      <c r="K196" s="33">
        <v>67</v>
      </c>
      <c r="L196" s="33">
        <v>67</v>
      </c>
      <c r="M196" s="33">
        <v>0</v>
      </c>
      <c r="N196" s="33">
        <v>0</v>
      </c>
      <c r="O196" s="33">
        <v>0</v>
      </c>
      <c r="P196" s="33">
        <v>0</v>
      </c>
      <c r="Q196" s="56">
        <v>1</v>
      </c>
      <c r="R196" s="56" t="s">
        <v>41</v>
      </c>
      <c r="S196" s="56" t="s">
        <v>41</v>
      </c>
      <c r="T196" s="56">
        <v>1</v>
      </c>
      <c r="U196" s="116">
        <v>0</v>
      </c>
      <c r="V196" s="116">
        <v>0</v>
      </c>
      <c r="W196" s="116">
        <v>0</v>
      </c>
      <c r="X196" s="116">
        <v>0</v>
      </c>
      <c r="Y196" s="116">
        <v>0</v>
      </c>
      <c r="Z196" s="116">
        <v>0</v>
      </c>
      <c r="AA196" s="116">
        <v>0</v>
      </c>
      <c r="AB196" s="116">
        <v>0</v>
      </c>
      <c r="AC196" s="10" t="s">
        <v>63</v>
      </c>
    </row>
    <row r="197" spans="2:29" x14ac:dyDescent="0.15">
      <c r="B197" s="105" t="s">
        <v>556</v>
      </c>
      <c r="C197" s="105" t="s">
        <v>871</v>
      </c>
      <c r="D197" s="32" t="s">
        <v>555</v>
      </c>
      <c r="E197" s="33">
        <v>0</v>
      </c>
      <c r="F197" s="33">
        <v>0</v>
      </c>
      <c r="G197" s="33">
        <v>1382</v>
      </c>
      <c r="H197" s="33">
        <v>1382</v>
      </c>
      <c r="I197" s="33">
        <v>0</v>
      </c>
      <c r="J197" s="33">
        <v>0</v>
      </c>
      <c r="K197" s="33">
        <v>1378</v>
      </c>
      <c r="L197" s="33">
        <v>1378</v>
      </c>
      <c r="M197" s="33">
        <v>0</v>
      </c>
      <c r="N197" s="33">
        <v>0</v>
      </c>
      <c r="O197" s="33">
        <v>4</v>
      </c>
      <c r="P197" s="33">
        <v>4</v>
      </c>
      <c r="Q197" s="56">
        <v>0.99710564399421131</v>
      </c>
      <c r="R197" s="56" t="s">
        <v>41</v>
      </c>
      <c r="S197" s="56" t="s">
        <v>41</v>
      </c>
      <c r="T197" s="56">
        <v>0.99710564399421131</v>
      </c>
      <c r="U197" s="116">
        <v>0</v>
      </c>
      <c r="V197" s="116">
        <v>0</v>
      </c>
      <c r="W197" s="116">
        <v>0</v>
      </c>
      <c r="X197" s="116">
        <v>0</v>
      </c>
      <c r="Y197" s="116">
        <v>0</v>
      </c>
      <c r="Z197" s="116">
        <v>0</v>
      </c>
      <c r="AA197" s="116">
        <v>0</v>
      </c>
      <c r="AB197" s="116">
        <v>0</v>
      </c>
      <c r="AC197" s="10" t="s">
        <v>43</v>
      </c>
    </row>
    <row r="198" spans="2:29" x14ac:dyDescent="0.15">
      <c r="B198" s="105" t="s">
        <v>588</v>
      </c>
      <c r="C198" s="105" t="s">
        <v>871</v>
      </c>
      <c r="D198" s="32" t="s">
        <v>589</v>
      </c>
      <c r="E198" s="33">
        <v>7435</v>
      </c>
      <c r="F198" s="33">
        <v>0</v>
      </c>
      <c r="G198" s="33">
        <v>12254</v>
      </c>
      <c r="H198" s="33">
        <v>19689</v>
      </c>
      <c r="I198" s="33">
        <v>3507</v>
      </c>
      <c r="J198" s="33">
        <v>0</v>
      </c>
      <c r="K198" s="33">
        <v>11352</v>
      </c>
      <c r="L198" s="33">
        <v>14859</v>
      </c>
      <c r="M198" s="33">
        <v>3928</v>
      </c>
      <c r="N198" s="33">
        <v>0</v>
      </c>
      <c r="O198" s="33">
        <v>902</v>
      </c>
      <c r="P198" s="33">
        <v>4830</v>
      </c>
      <c r="Q198" s="56">
        <v>0.75468535730610997</v>
      </c>
      <c r="R198" s="56">
        <v>0.47168796234028243</v>
      </c>
      <c r="S198" s="56" t="s">
        <v>41</v>
      </c>
      <c r="T198" s="56">
        <v>0.92639138240574503</v>
      </c>
      <c r="U198" s="116">
        <v>2487</v>
      </c>
      <c r="V198" s="116">
        <v>0</v>
      </c>
      <c r="W198" s="116">
        <v>42</v>
      </c>
      <c r="X198" s="116">
        <v>2529</v>
      </c>
      <c r="Y198" s="116">
        <v>1399</v>
      </c>
      <c r="Z198" s="116">
        <v>3928</v>
      </c>
      <c r="AA198" s="116">
        <v>944</v>
      </c>
      <c r="AB198" s="116">
        <v>497</v>
      </c>
      <c r="AC198" s="10" t="s">
        <v>57</v>
      </c>
    </row>
    <row r="199" spans="2:29" x14ac:dyDescent="0.15">
      <c r="B199" s="105" t="s">
        <v>600</v>
      </c>
      <c r="C199" s="105" t="s">
        <v>871</v>
      </c>
      <c r="D199" s="32" t="s">
        <v>601</v>
      </c>
      <c r="E199" s="33">
        <v>14759</v>
      </c>
      <c r="F199" s="33">
        <v>0</v>
      </c>
      <c r="G199" s="33">
        <v>5049</v>
      </c>
      <c r="H199" s="33">
        <v>19808</v>
      </c>
      <c r="I199" s="33">
        <v>7415</v>
      </c>
      <c r="J199" s="33">
        <v>0</v>
      </c>
      <c r="K199" s="33">
        <v>5035</v>
      </c>
      <c r="L199" s="33">
        <v>12450</v>
      </c>
      <c r="M199" s="33">
        <v>7344</v>
      </c>
      <c r="N199" s="33">
        <v>0</v>
      </c>
      <c r="O199" s="33">
        <v>14</v>
      </c>
      <c r="P199" s="33">
        <v>7358</v>
      </c>
      <c r="Q199" s="56">
        <v>0.62853392568659128</v>
      </c>
      <c r="R199" s="56">
        <v>0.50240531201300898</v>
      </c>
      <c r="S199" s="56" t="s">
        <v>41</v>
      </c>
      <c r="T199" s="56">
        <v>0.99722717369776193</v>
      </c>
      <c r="U199" s="116">
        <v>3186</v>
      </c>
      <c r="V199" s="116">
        <v>0</v>
      </c>
      <c r="W199" s="116">
        <v>0</v>
      </c>
      <c r="X199" s="116">
        <v>3186</v>
      </c>
      <c r="Y199" s="116">
        <v>1941</v>
      </c>
      <c r="Z199" s="116">
        <v>5127</v>
      </c>
      <c r="AA199" s="116">
        <v>1319</v>
      </c>
      <c r="AB199" s="116">
        <v>213</v>
      </c>
      <c r="AC199" s="10" t="s">
        <v>63</v>
      </c>
    </row>
    <row r="200" spans="2:29" x14ac:dyDescent="0.15">
      <c r="B200" s="105" t="s">
        <v>557</v>
      </c>
      <c r="C200" s="105" t="s">
        <v>871</v>
      </c>
      <c r="D200" s="32" t="s">
        <v>558</v>
      </c>
      <c r="E200" s="33">
        <v>9425</v>
      </c>
      <c r="F200" s="33">
        <v>0</v>
      </c>
      <c r="G200" s="33">
        <v>0</v>
      </c>
      <c r="H200" s="33">
        <v>9425</v>
      </c>
      <c r="I200" s="33">
        <v>5346</v>
      </c>
      <c r="J200" s="33">
        <v>0</v>
      </c>
      <c r="K200" s="33">
        <v>0</v>
      </c>
      <c r="L200" s="33">
        <v>5346</v>
      </c>
      <c r="M200" s="33">
        <v>4079</v>
      </c>
      <c r="N200" s="33">
        <v>0</v>
      </c>
      <c r="O200" s="33">
        <v>0</v>
      </c>
      <c r="P200" s="33">
        <v>4079</v>
      </c>
      <c r="Q200" s="56">
        <v>0.56721485411140582</v>
      </c>
      <c r="R200" s="56">
        <v>0.56721485411140582</v>
      </c>
      <c r="S200" s="56" t="s">
        <v>41</v>
      </c>
      <c r="T200" s="56" t="s">
        <v>41</v>
      </c>
      <c r="U200" s="116">
        <v>2863</v>
      </c>
      <c r="V200" s="116">
        <v>0</v>
      </c>
      <c r="W200" s="116">
        <v>0</v>
      </c>
      <c r="X200" s="116">
        <v>2863</v>
      </c>
      <c r="Y200" s="116">
        <v>2044</v>
      </c>
      <c r="Z200" s="116">
        <v>4907</v>
      </c>
      <c r="AA200" s="116">
        <v>1098</v>
      </c>
      <c r="AB200" s="116">
        <v>176</v>
      </c>
      <c r="AC200" s="10" t="s">
        <v>43</v>
      </c>
    </row>
    <row r="201" spans="2:29" x14ac:dyDescent="0.15">
      <c r="B201" s="105" t="s">
        <v>559</v>
      </c>
      <c r="C201" s="105" t="s">
        <v>871</v>
      </c>
      <c r="D201" s="32" t="s">
        <v>560</v>
      </c>
      <c r="E201" s="33">
        <v>5083</v>
      </c>
      <c r="F201" s="33">
        <v>339</v>
      </c>
      <c r="G201" s="33">
        <v>2102</v>
      </c>
      <c r="H201" s="33">
        <v>7524</v>
      </c>
      <c r="I201" s="33">
        <v>2562</v>
      </c>
      <c r="J201" s="33">
        <v>339</v>
      </c>
      <c r="K201" s="33">
        <v>2102</v>
      </c>
      <c r="L201" s="33">
        <v>5003</v>
      </c>
      <c r="M201" s="33">
        <v>2521</v>
      </c>
      <c r="N201" s="33">
        <v>0</v>
      </c>
      <c r="O201" s="33">
        <v>0</v>
      </c>
      <c r="P201" s="33">
        <v>2521</v>
      </c>
      <c r="Q201" s="56">
        <v>0.66493886230728338</v>
      </c>
      <c r="R201" s="56">
        <v>0.50403305134762932</v>
      </c>
      <c r="S201" s="56">
        <v>1</v>
      </c>
      <c r="T201" s="56">
        <v>1</v>
      </c>
      <c r="U201" s="116">
        <v>1192</v>
      </c>
      <c r="V201" s="116">
        <v>0</v>
      </c>
      <c r="W201" s="116">
        <v>0</v>
      </c>
      <c r="X201" s="116">
        <v>1192</v>
      </c>
      <c r="Y201" s="116">
        <v>912</v>
      </c>
      <c r="Z201" s="116">
        <v>2104</v>
      </c>
      <c r="AA201" s="116">
        <v>614</v>
      </c>
      <c r="AB201" s="116">
        <v>235</v>
      </c>
      <c r="AC201" s="10" t="s">
        <v>43</v>
      </c>
    </row>
    <row r="202" spans="2:29" x14ac:dyDescent="0.15">
      <c r="B202" s="105" t="s">
        <v>565</v>
      </c>
      <c r="C202" s="105" t="s">
        <v>871</v>
      </c>
      <c r="D202" s="32" t="s">
        <v>829</v>
      </c>
      <c r="E202" s="33">
        <v>0</v>
      </c>
      <c r="F202" s="33">
        <v>0</v>
      </c>
      <c r="G202" s="33">
        <v>9915</v>
      </c>
      <c r="H202" s="33">
        <v>9915</v>
      </c>
      <c r="I202" s="33">
        <v>0</v>
      </c>
      <c r="J202" s="33">
        <v>0</v>
      </c>
      <c r="K202" s="33">
        <v>9360</v>
      </c>
      <c r="L202" s="33">
        <v>9360</v>
      </c>
      <c r="M202" s="33">
        <v>0</v>
      </c>
      <c r="N202" s="33">
        <v>0</v>
      </c>
      <c r="O202" s="33">
        <v>555</v>
      </c>
      <c r="P202" s="33">
        <v>555</v>
      </c>
      <c r="Q202" s="56">
        <v>0.94402420574886536</v>
      </c>
      <c r="R202" s="56" t="s">
        <v>41</v>
      </c>
      <c r="S202" s="56" t="s">
        <v>41</v>
      </c>
      <c r="T202" s="56">
        <v>0.94402420574886536</v>
      </c>
      <c r="U202" s="116">
        <v>0</v>
      </c>
      <c r="V202" s="116">
        <v>0</v>
      </c>
      <c r="W202" s="116">
        <v>0</v>
      </c>
      <c r="X202" s="116">
        <v>0</v>
      </c>
      <c r="Y202" s="116">
        <v>0</v>
      </c>
      <c r="Z202" s="116">
        <v>0</v>
      </c>
      <c r="AA202" s="116">
        <v>0</v>
      </c>
      <c r="AB202" s="116">
        <v>0</v>
      </c>
      <c r="AC202" s="10" t="s">
        <v>49</v>
      </c>
    </row>
    <row r="203" spans="2:29" x14ac:dyDescent="0.15">
      <c r="B203" s="105" t="s">
        <v>648</v>
      </c>
      <c r="C203" s="105" t="s">
        <v>871</v>
      </c>
      <c r="D203" s="32" t="s">
        <v>649</v>
      </c>
      <c r="E203" s="33">
        <v>12302</v>
      </c>
      <c r="F203" s="33">
        <v>0</v>
      </c>
      <c r="G203" s="33">
        <v>9553</v>
      </c>
      <c r="H203" s="33">
        <v>21855</v>
      </c>
      <c r="I203" s="33">
        <v>6447</v>
      </c>
      <c r="J203" s="33">
        <v>0</v>
      </c>
      <c r="K203" s="33">
        <v>9229</v>
      </c>
      <c r="L203" s="33">
        <v>15676</v>
      </c>
      <c r="M203" s="33">
        <v>5855</v>
      </c>
      <c r="N203" s="33">
        <v>0</v>
      </c>
      <c r="O203" s="33">
        <v>324</v>
      </c>
      <c r="P203" s="33">
        <v>6179</v>
      </c>
      <c r="Q203" s="56">
        <v>0.71727293525509039</v>
      </c>
      <c r="R203" s="56">
        <v>0.52406112827182572</v>
      </c>
      <c r="S203" s="56" t="s">
        <v>41</v>
      </c>
      <c r="T203" s="56">
        <v>0.96608395268502045</v>
      </c>
      <c r="U203" s="116">
        <v>3121</v>
      </c>
      <c r="V203" s="116">
        <v>0</v>
      </c>
      <c r="W203" s="116">
        <v>0</v>
      </c>
      <c r="X203" s="116">
        <v>3121</v>
      </c>
      <c r="Y203" s="116">
        <v>1809</v>
      </c>
      <c r="Z203" s="116">
        <v>4930</v>
      </c>
      <c r="AA203" s="116">
        <v>639</v>
      </c>
      <c r="AB203" s="116">
        <v>86</v>
      </c>
      <c r="AC203" s="10" t="s">
        <v>109</v>
      </c>
    </row>
    <row r="204" spans="2:29" x14ac:dyDescent="0.15">
      <c r="B204" s="105" t="s">
        <v>607</v>
      </c>
      <c r="C204" s="105" t="s">
        <v>871</v>
      </c>
      <c r="D204" s="32" t="s">
        <v>608</v>
      </c>
      <c r="E204" s="33">
        <v>0</v>
      </c>
      <c r="F204" s="33">
        <v>0</v>
      </c>
      <c r="G204" s="33">
        <v>1826</v>
      </c>
      <c r="H204" s="33">
        <v>1826</v>
      </c>
      <c r="I204" s="33">
        <v>0</v>
      </c>
      <c r="J204" s="33">
        <v>0</v>
      </c>
      <c r="K204" s="33">
        <v>1713</v>
      </c>
      <c r="L204" s="33">
        <v>1713</v>
      </c>
      <c r="M204" s="33">
        <v>0</v>
      </c>
      <c r="N204" s="33">
        <v>0</v>
      </c>
      <c r="O204" s="33">
        <v>113</v>
      </c>
      <c r="P204" s="33">
        <v>113</v>
      </c>
      <c r="Q204" s="56">
        <v>0.93811610076670315</v>
      </c>
      <c r="R204" s="56" t="s">
        <v>41</v>
      </c>
      <c r="S204" s="56" t="s">
        <v>41</v>
      </c>
      <c r="T204" s="56">
        <v>0.93811610076670315</v>
      </c>
      <c r="U204" s="116">
        <v>0</v>
      </c>
      <c r="V204" s="116">
        <v>0</v>
      </c>
      <c r="W204" s="116">
        <v>0</v>
      </c>
      <c r="X204" s="116">
        <v>0</v>
      </c>
      <c r="Y204" s="116">
        <v>0</v>
      </c>
      <c r="Z204" s="116">
        <v>0</v>
      </c>
      <c r="AA204" s="116">
        <v>0</v>
      </c>
      <c r="AB204" s="116">
        <v>0</v>
      </c>
      <c r="AC204" s="10" t="s">
        <v>63</v>
      </c>
    </row>
    <row r="205" spans="2:29" x14ac:dyDescent="0.15">
      <c r="B205" s="105" t="s">
        <v>623</v>
      </c>
      <c r="C205" s="105" t="s">
        <v>871</v>
      </c>
      <c r="D205" s="32" t="s">
        <v>624</v>
      </c>
      <c r="E205" s="33">
        <v>0</v>
      </c>
      <c r="F205" s="33">
        <v>0</v>
      </c>
      <c r="G205" s="33">
        <v>702</v>
      </c>
      <c r="H205" s="33">
        <v>702</v>
      </c>
      <c r="I205" s="33">
        <v>0</v>
      </c>
      <c r="J205" s="33">
        <v>0</v>
      </c>
      <c r="K205" s="33">
        <v>702</v>
      </c>
      <c r="L205" s="33">
        <v>702</v>
      </c>
      <c r="M205" s="33">
        <v>0</v>
      </c>
      <c r="N205" s="33">
        <v>0</v>
      </c>
      <c r="O205" s="33">
        <v>0</v>
      </c>
      <c r="P205" s="33">
        <v>0</v>
      </c>
      <c r="Q205" s="56">
        <v>1</v>
      </c>
      <c r="R205" s="56" t="s">
        <v>41</v>
      </c>
      <c r="S205" s="56" t="s">
        <v>41</v>
      </c>
      <c r="T205" s="56">
        <v>1</v>
      </c>
      <c r="U205" s="116">
        <v>0</v>
      </c>
      <c r="V205" s="116">
        <v>0</v>
      </c>
      <c r="W205" s="116">
        <v>0</v>
      </c>
      <c r="X205" s="116">
        <v>0</v>
      </c>
      <c r="Y205" s="116">
        <v>0</v>
      </c>
      <c r="Z205" s="116">
        <v>0</v>
      </c>
      <c r="AA205" s="116">
        <v>0</v>
      </c>
      <c r="AB205" s="116">
        <v>0</v>
      </c>
      <c r="AC205" s="10" t="s">
        <v>71</v>
      </c>
    </row>
    <row r="206" spans="2:29" x14ac:dyDescent="0.15">
      <c r="B206" s="105" t="s">
        <v>602</v>
      </c>
      <c r="C206" s="105" t="s">
        <v>871</v>
      </c>
      <c r="D206" s="32" t="s">
        <v>750</v>
      </c>
      <c r="E206" s="33">
        <v>7380</v>
      </c>
      <c r="F206" s="33">
        <v>0</v>
      </c>
      <c r="G206" s="33">
        <v>3743</v>
      </c>
      <c r="H206" s="33">
        <v>11123</v>
      </c>
      <c r="I206" s="33">
        <v>4397</v>
      </c>
      <c r="J206" s="33">
        <v>0</v>
      </c>
      <c r="K206" s="33">
        <v>3553</v>
      </c>
      <c r="L206" s="33">
        <v>7950</v>
      </c>
      <c r="M206" s="33">
        <v>2983</v>
      </c>
      <c r="N206" s="33">
        <v>0</v>
      </c>
      <c r="O206" s="33">
        <v>190</v>
      </c>
      <c r="P206" s="33">
        <v>3173</v>
      </c>
      <c r="Q206" s="56">
        <v>0.71473523330036859</v>
      </c>
      <c r="R206" s="56">
        <v>0.5957994579945799</v>
      </c>
      <c r="S206" s="56" t="s">
        <v>41</v>
      </c>
      <c r="T206" s="56">
        <v>0.949238578680203</v>
      </c>
      <c r="U206" s="116">
        <v>1647</v>
      </c>
      <c r="V206" s="116">
        <v>0</v>
      </c>
      <c r="W206" s="116">
        <v>4</v>
      </c>
      <c r="X206" s="116">
        <v>1651</v>
      </c>
      <c r="Y206" s="116">
        <v>481</v>
      </c>
      <c r="Z206" s="116">
        <v>2132</v>
      </c>
      <c r="AA206" s="116">
        <v>552</v>
      </c>
      <c r="AB206" s="116">
        <v>167</v>
      </c>
      <c r="AC206" s="10" t="s">
        <v>63</v>
      </c>
    </row>
    <row r="207" spans="2:29" x14ac:dyDescent="0.15">
      <c r="B207" s="105" t="s">
        <v>799</v>
      </c>
      <c r="C207" s="105" t="s">
        <v>871</v>
      </c>
      <c r="D207" s="32" t="s">
        <v>795</v>
      </c>
      <c r="E207" s="33">
        <v>0</v>
      </c>
      <c r="F207" s="33">
        <v>0</v>
      </c>
      <c r="G207" s="33">
        <v>1624</v>
      </c>
      <c r="H207" s="33">
        <v>1624</v>
      </c>
      <c r="I207" s="33">
        <v>0</v>
      </c>
      <c r="J207" s="33">
        <v>0</v>
      </c>
      <c r="K207" s="33">
        <v>1604</v>
      </c>
      <c r="L207" s="33">
        <v>1604</v>
      </c>
      <c r="M207" s="33">
        <v>0</v>
      </c>
      <c r="N207" s="33">
        <v>0</v>
      </c>
      <c r="O207" s="33">
        <v>20</v>
      </c>
      <c r="P207" s="33">
        <v>20</v>
      </c>
      <c r="Q207" s="56">
        <v>0.98768472906403937</v>
      </c>
      <c r="R207" s="56" t="s">
        <v>41</v>
      </c>
      <c r="S207" s="56" t="s">
        <v>41</v>
      </c>
      <c r="T207" s="56">
        <v>0.98768472906403937</v>
      </c>
      <c r="U207" s="116">
        <v>0</v>
      </c>
      <c r="V207" s="116">
        <v>0</v>
      </c>
      <c r="W207" s="116">
        <v>0</v>
      </c>
      <c r="X207" s="116">
        <v>0</v>
      </c>
      <c r="Y207" s="116">
        <v>0</v>
      </c>
      <c r="Z207" s="116">
        <v>0</v>
      </c>
      <c r="AA207" s="116">
        <v>0</v>
      </c>
      <c r="AB207" s="116">
        <v>0</v>
      </c>
      <c r="AC207" s="10" t="s">
        <v>43</v>
      </c>
    </row>
    <row r="208" spans="2:29" x14ac:dyDescent="0.15">
      <c r="B208" s="105" t="s">
        <v>609</v>
      </c>
      <c r="C208" s="105" t="s">
        <v>871</v>
      </c>
      <c r="D208" s="117" t="s">
        <v>610</v>
      </c>
      <c r="E208" s="33">
        <v>16401</v>
      </c>
      <c r="F208" s="33">
        <v>0</v>
      </c>
      <c r="G208" s="33">
        <v>4083</v>
      </c>
      <c r="H208" s="33">
        <v>20484</v>
      </c>
      <c r="I208" s="33">
        <v>10634</v>
      </c>
      <c r="J208" s="33">
        <v>0</v>
      </c>
      <c r="K208" s="33">
        <v>4083</v>
      </c>
      <c r="L208" s="33">
        <v>14717</v>
      </c>
      <c r="M208" s="33">
        <v>5767</v>
      </c>
      <c r="N208" s="33">
        <v>0</v>
      </c>
      <c r="O208" s="33">
        <v>0</v>
      </c>
      <c r="P208" s="33">
        <v>5767</v>
      </c>
      <c r="Q208" s="56">
        <v>0.71846319078305021</v>
      </c>
      <c r="R208" s="56">
        <v>0.64837509907932445</v>
      </c>
      <c r="S208" s="56" t="s">
        <v>41</v>
      </c>
      <c r="T208" s="56">
        <v>1</v>
      </c>
      <c r="U208" s="116">
        <v>4192</v>
      </c>
      <c r="V208" s="116">
        <v>2</v>
      </c>
      <c r="W208" s="116">
        <v>0</v>
      </c>
      <c r="X208" s="116">
        <v>4194</v>
      </c>
      <c r="Y208" s="116">
        <v>2564</v>
      </c>
      <c r="Z208" s="116">
        <v>6758</v>
      </c>
      <c r="AA208" s="116">
        <v>1324</v>
      </c>
      <c r="AB208" s="116">
        <v>342</v>
      </c>
      <c r="AC208" s="10" t="s">
        <v>65</v>
      </c>
    </row>
    <row r="209" spans="2:29" x14ac:dyDescent="0.15">
      <c r="B209" s="118" t="s">
        <v>598</v>
      </c>
      <c r="C209" s="118" t="s">
        <v>871</v>
      </c>
      <c r="D209" s="34" t="s">
        <v>599</v>
      </c>
      <c r="E209" s="35">
        <v>9089</v>
      </c>
      <c r="F209" s="35">
        <v>74</v>
      </c>
      <c r="G209" s="35">
        <v>8290</v>
      </c>
      <c r="H209" s="35">
        <v>17453</v>
      </c>
      <c r="I209" s="35">
        <v>3293</v>
      </c>
      <c r="J209" s="35">
        <v>68</v>
      </c>
      <c r="K209" s="35">
        <v>8089</v>
      </c>
      <c r="L209" s="35">
        <v>11450</v>
      </c>
      <c r="M209" s="35">
        <v>5796</v>
      </c>
      <c r="N209" s="35">
        <v>6</v>
      </c>
      <c r="O209" s="35">
        <v>201</v>
      </c>
      <c r="P209" s="35">
        <v>6003</v>
      </c>
      <c r="Q209" s="62">
        <v>0.65604767088752647</v>
      </c>
      <c r="R209" s="62">
        <v>0.36230608427769834</v>
      </c>
      <c r="S209" s="62">
        <v>0.91891891891891897</v>
      </c>
      <c r="T209" s="62">
        <v>0.97575392038600728</v>
      </c>
      <c r="U209" s="119">
        <v>2195</v>
      </c>
      <c r="V209" s="119">
        <v>0</v>
      </c>
      <c r="W209" s="119">
        <v>30</v>
      </c>
      <c r="X209" s="119">
        <v>2225</v>
      </c>
      <c r="Y209" s="119">
        <v>761</v>
      </c>
      <c r="Z209" s="119">
        <v>2986</v>
      </c>
      <c r="AA209" s="119">
        <v>1824</v>
      </c>
      <c r="AB209" s="119">
        <v>588</v>
      </c>
      <c r="AC209" s="10" t="s">
        <v>63</v>
      </c>
    </row>
    <row r="210" spans="2:29" x14ac:dyDescent="0.15">
      <c r="C210" s="3" t="s">
        <v>751</v>
      </c>
      <c r="D210" s="3" t="s">
        <v>751</v>
      </c>
    </row>
    <row r="211" spans="2:29" x14ac:dyDescent="0.15">
      <c r="C211" s="3" t="s">
        <v>751</v>
      </c>
      <c r="D211" s="3" t="s">
        <v>751</v>
      </c>
    </row>
    <row r="212" spans="2:29" x14ac:dyDescent="0.15">
      <c r="C212" s="3" t="s">
        <v>751</v>
      </c>
      <c r="D212" s="3" t="s">
        <v>751</v>
      </c>
    </row>
    <row r="213" spans="2:29" x14ac:dyDescent="0.15">
      <c r="C213" s="3" t="s">
        <v>751</v>
      </c>
      <c r="D213" s="3" t="s">
        <v>751</v>
      </c>
    </row>
    <row r="214" spans="2:29" x14ac:dyDescent="0.15">
      <c r="C214" s="3" t="s">
        <v>751</v>
      </c>
      <c r="D214" s="3" t="s">
        <v>751</v>
      </c>
    </row>
    <row r="215" spans="2:29" x14ac:dyDescent="0.15">
      <c r="C215" s="3" t="s">
        <v>751</v>
      </c>
      <c r="D215" s="3" t="s">
        <v>751</v>
      </c>
    </row>
    <row r="216" spans="2:29" x14ac:dyDescent="0.15">
      <c r="C216" s="3" t="s">
        <v>751</v>
      </c>
      <c r="D216" s="3" t="s">
        <v>751</v>
      </c>
    </row>
    <row r="217" spans="2:29" x14ac:dyDescent="0.15">
      <c r="C217" s="3" t="s">
        <v>751</v>
      </c>
      <c r="D217" s="3" t="s">
        <v>751</v>
      </c>
    </row>
    <row r="218" spans="2:29" x14ac:dyDescent="0.15">
      <c r="C218" s="3" t="s">
        <v>751</v>
      </c>
      <c r="D218" s="3" t="s">
        <v>751</v>
      </c>
    </row>
    <row r="219" spans="2:29" x14ac:dyDescent="0.15">
      <c r="C219" s="3" t="s">
        <v>751</v>
      </c>
      <c r="D219" s="3" t="s">
        <v>751</v>
      </c>
    </row>
    <row r="220" spans="2:29" x14ac:dyDescent="0.15">
      <c r="C220" s="3" t="s">
        <v>751</v>
      </c>
      <c r="D220" s="3" t="s">
        <v>751</v>
      </c>
    </row>
    <row r="221" spans="2:29" x14ac:dyDescent="0.15">
      <c r="C221" s="3" t="s">
        <v>751</v>
      </c>
      <c r="D221" s="3" t="s">
        <v>751</v>
      </c>
    </row>
    <row r="222" spans="2:29" x14ac:dyDescent="0.15">
      <c r="C222" s="3" t="s">
        <v>751</v>
      </c>
      <c r="D222" s="3" t="s">
        <v>751</v>
      </c>
    </row>
    <row r="223" spans="2:29" x14ac:dyDescent="0.15">
      <c r="C223" s="3" t="s">
        <v>751</v>
      </c>
      <c r="D223" s="3" t="s">
        <v>751</v>
      </c>
    </row>
    <row r="224" spans="2:29" x14ac:dyDescent="0.15">
      <c r="C224" s="3" t="s">
        <v>751</v>
      </c>
      <c r="D224" s="3" t="s">
        <v>751</v>
      </c>
    </row>
    <row r="225" spans="3:4" x14ac:dyDescent="0.15">
      <c r="C225" s="3" t="s">
        <v>751</v>
      </c>
      <c r="D225" s="3" t="s">
        <v>751</v>
      </c>
    </row>
    <row r="226" spans="3:4" x14ac:dyDescent="0.15">
      <c r="C226" s="3" t="s">
        <v>751</v>
      </c>
      <c r="D226" s="3" t="s">
        <v>751</v>
      </c>
    </row>
    <row r="227" spans="3:4" x14ac:dyDescent="0.15">
      <c r="C227" s="3" t="s">
        <v>751</v>
      </c>
      <c r="D227" s="3" t="s">
        <v>751</v>
      </c>
    </row>
    <row r="228" spans="3:4" x14ac:dyDescent="0.15">
      <c r="C228" s="3" t="s">
        <v>751</v>
      </c>
      <c r="D228" s="3" t="s">
        <v>751</v>
      </c>
    </row>
    <row r="229" spans="3:4" x14ac:dyDescent="0.15">
      <c r="C229" s="3" t="s">
        <v>751</v>
      </c>
      <c r="D229" s="3" t="s">
        <v>751</v>
      </c>
    </row>
    <row r="230" spans="3:4" x14ac:dyDescent="0.15">
      <c r="C230" s="3" t="s">
        <v>751</v>
      </c>
      <c r="D230" s="3" t="s">
        <v>751</v>
      </c>
    </row>
  </sheetData>
  <mergeCells count="7">
    <mergeCell ref="C2:D3"/>
    <mergeCell ref="U15:AB15"/>
    <mergeCell ref="E15:H15"/>
    <mergeCell ref="M15:P15"/>
    <mergeCell ref="I15:L15"/>
    <mergeCell ref="Q15:T15"/>
    <mergeCell ref="C4:D4"/>
  </mergeCells>
  <phoneticPr fontId="0" type="noConversion"/>
  <pageMargins left="0.74803149606299213" right="0.74803149606299213" top="0.98425196850393704" bottom="0.98425196850393704" header="0.51181102362204722" footer="0.51181102362204722"/>
  <pageSetup paperSize="9" scale="26" orientation="landscape"/>
  <headerFooter alignWithMargins="0"/>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1F1E-EC34-B64F-BF1E-A9308CABE793}">
  <dimension ref="A1:P65"/>
  <sheetViews>
    <sheetView tabSelected="1" topLeftCell="A19" workbookViewId="0">
      <selection activeCell="E34" sqref="E34"/>
    </sheetView>
  </sheetViews>
  <sheetFormatPr baseColWidth="10" defaultRowHeight="13" x14ac:dyDescent="0.15"/>
  <cols>
    <col min="1" max="1" width="64.33203125" customWidth="1"/>
    <col min="2" max="2" width="26" customWidth="1"/>
    <col min="3" max="3" width="19.5" customWidth="1"/>
    <col min="4" max="4" width="28.6640625" customWidth="1"/>
    <col min="5" max="5" width="27.33203125" customWidth="1"/>
    <col min="6" max="6" width="34.5" style="150" customWidth="1"/>
    <col min="7" max="7" width="24.6640625" style="150" customWidth="1"/>
  </cols>
  <sheetData>
    <row r="1" spans="1:9" ht="28" x14ac:dyDescent="0.3">
      <c r="A1" s="180" t="s">
        <v>896</v>
      </c>
      <c r="B1" s="176" t="s">
        <v>87</v>
      </c>
      <c r="C1" s="177"/>
      <c r="D1" s="177"/>
      <c r="E1" s="177"/>
      <c r="F1" s="178"/>
      <c r="G1" s="178"/>
      <c r="H1" s="154"/>
      <c r="I1" s="154"/>
    </row>
    <row r="2" spans="1:9" ht="28" x14ac:dyDescent="0.3">
      <c r="A2" s="154"/>
      <c r="B2" s="154"/>
      <c r="C2" s="154"/>
      <c r="D2" s="154"/>
      <c r="E2" s="154"/>
      <c r="F2" s="174"/>
      <c r="G2" s="174"/>
      <c r="H2" s="154"/>
      <c r="I2" s="154"/>
    </row>
    <row r="3" spans="1:9" ht="28" x14ac:dyDescent="0.3">
      <c r="A3" s="156"/>
      <c r="B3" s="157" t="s">
        <v>898</v>
      </c>
      <c r="C3" s="158"/>
      <c r="D3" s="158"/>
      <c r="E3" s="158"/>
      <c r="F3" s="158"/>
      <c r="G3" s="159"/>
      <c r="H3" s="154"/>
      <c r="I3" s="154"/>
    </row>
    <row r="4" spans="1:9" ht="29" x14ac:dyDescent="0.3">
      <c r="A4" s="179" t="s">
        <v>8</v>
      </c>
      <c r="B4" s="156" t="s">
        <v>897</v>
      </c>
      <c r="C4" s="160" t="s">
        <v>899</v>
      </c>
      <c r="D4" s="160" t="s">
        <v>900</v>
      </c>
      <c r="E4" s="160" t="s">
        <v>901</v>
      </c>
      <c r="F4" s="160" t="s">
        <v>902</v>
      </c>
      <c r="G4" s="161" t="s">
        <v>903</v>
      </c>
      <c r="H4" s="154"/>
      <c r="I4" s="154"/>
    </row>
    <row r="5" spans="1:9" ht="28" x14ac:dyDescent="0.3">
      <c r="A5" s="156" t="s">
        <v>745</v>
      </c>
      <c r="B5" s="156">
        <v>12375</v>
      </c>
      <c r="C5" s="160">
        <v>9198</v>
      </c>
      <c r="D5" s="162">
        <v>16496</v>
      </c>
      <c r="E5" s="160">
        <v>13221</v>
      </c>
      <c r="F5" s="163">
        <v>0.74327272727272731</v>
      </c>
      <c r="G5" s="164">
        <v>0.80146702230843836</v>
      </c>
      <c r="H5" s="154"/>
      <c r="I5" s="154"/>
    </row>
    <row r="6" spans="1:9" ht="28" x14ac:dyDescent="0.3">
      <c r="A6" s="165" t="s">
        <v>747</v>
      </c>
      <c r="B6" s="165">
        <v>21697</v>
      </c>
      <c r="C6" s="154">
        <v>15826</v>
      </c>
      <c r="D6" s="166">
        <v>23409</v>
      </c>
      <c r="E6" s="154">
        <v>17537</v>
      </c>
      <c r="F6" s="167">
        <v>0.72940959579665388</v>
      </c>
      <c r="G6" s="168">
        <v>0.74915630740313555</v>
      </c>
      <c r="H6" s="154"/>
      <c r="I6" s="154"/>
    </row>
    <row r="7" spans="1:9" ht="28" x14ac:dyDescent="0.3">
      <c r="A7" s="165" t="s">
        <v>647</v>
      </c>
      <c r="B7" s="165">
        <v>10582</v>
      </c>
      <c r="C7" s="154">
        <v>7375</v>
      </c>
      <c r="D7" s="166">
        <v>17283</v>
      </c>
      <c r="E7" s="154">
        <v>13060</v>
      </c>
      <c r="F7" s="167">
        <v>0.69693819693819692</v>
      </c>
      <c r="G7" s="168">
        <v>0.75565584678585895</v>
      </c>
      <c r="H7" s="154"/>
      <c r="I7" s="154"/>
    </row>
    <row r="8" spans="1:9" ht="28" x14ac:dyDescent="0.3">
      <c r="A8" s="165" t="s">
        <v>642</v>
      </c>
      <c r="B8" s="165">
        <v>13689</v>
      </c>
      <c r="C8" s="154">
        <v>6974</v>
      </c>
      <c r="D8" s="166">
        <v>26960</v>
      </c>
      <c r="E8" s="154">
        <v>19431</v>
      </c>
      <c r="F8" s="167">
        <v>0.50946015048579152</v>
      </c>
      <c r="G8" s="168">
        <v>0.72073442136498511</v>
      </c>
      <c r="H8" s="154"/>
      <c r="I8" s="154"/>
    </row>
    <row r="9" spans="1:9" ht="58" x14ac:dyDescent="0.3">
      <c r="A9" s="200" t="s">
        <v>914</v>
      </c>
      <c r="B9" s="169">
        <v>58343</v>
      </c>
      <c r="C9" s="170">
        <v>39373</v>
      </c>
      <c r="D9" s="171">
        <v>84148</v>
      </c>
      <c r="E9" s="170">
        <v>63249</v>
      </c>
      <c r="F9" s="172">
        <v>0.67485388135680369</v>
      </c>
      <c r="G9" s="173">
        <v>0.75163996767599939</v>
      </c>
      <c r="H9" s="154"/>
      <c r="I9" s="154"/>
    </row>
    <row r="10" spans="1:9" ht="28" x14ac:dyDescent="0.3">
      <c r="A10" s="199"/>
      <c r="B10" s="154"/>
      <c r="C10" s="154"/>
      <c r="D10" s="154"/>
      <c r="E10" s="154"/>
      <c r="F10" s="154"/>
      <c r="G10" s="154"/>
      <c r="H10" s="154"/>
      <c r="I10" s="154"/>
    </row>
    <row r="11" spans="1:9" ht="28" x14ac:dyDescent="0.3">
      <c r="A11" s="154"/>
      <c r="B11" s="154"/>
      <c r="C11" s="154"/>
      <c r="D11" s="154"/>
      <c r="E11" s="154"/>
      <c r="F11" s="155"/>
      <c r="G11" s="155"/>
      <c r="H11" s="154"/>
      <c r="I11" s="154"/>
    </row>
    <row r="12" spans="1:9" ht="28" x14ac:dyDescent="0.3">
      <c r="A12" s="154"/>
      <c r="B12" s="154"/>
      <c r="C12" s="154"/>
      <c r="D12" s="154"/>
      <c r="E12" s="154"/>
      <c r="F12" s="155"/>
      <c r="G12" s="155"/>
      <c r="H12" s="154"/>
      <c r="I12" s="154"/>
    </row>
    <row r="13" spans="1:9" ht="28" x14ac:dyDescent="0.3">
      <c r="A13" s="175" t="s">
        <v>8</v>
      </c>
      <c r="B13" s="167" t="s">
        <v>904</v>
      </c>
      <c r="C13" s="154"/>
      <c r="D13" s="154"/>
      <c r="E13" s="154"/>
      <c r="F13" s="155"/>
      <c r="G13" s="155"/>
      <c r="H13" s="154"/>
      <c r="I13" s="154"/>
    </row>
    <row r="14" spans="1:9" ht="28" x14ac:dyDescent="0.3">
      <c r="A14" s="154" t="s">
        <v>905</v>
      </c>
      <c r="B14" s="155">
        <v>0.74327272727272731</v>
      </c>
      <c r="C14" s="154"/>
      <c r="D14" s="154"/>
      <c r="E14" s="154"/>
      <c r="F14" s="155"/>
      <c r="G14" s="155"/>
      <c r="H14" s="154"/>
      <c r="I14" s="154"/>
    </row>
    <row r="15" spans="1:9" ht="28" x14ac:dyDescent="0.3">
      <c r="A15" s="154" t="s">
        <v>913</v>
      </c>
      <c r="B15" s="155">
        <v>0.72940959579665388</v>
      </c>
      <c r="C15" s="154"/>
      <c r="D15" s="154"/>
      <c r="E15" s="154"/>
      <c r="F15" s="155"/>
      <c r="G15" s="155"/>
      <c r="H15" s="154"/>
      <c r="I15" s="154"/>
    </row>
    <row r="16" spans="1:9" ht="28" x14ac:dyDescent="0.3">
      <c r="A16" s="154" t="s">
        <v>906</v>
      </c>
      <c r="B16" s="155">
        <v>0.69693819693819692</v>
      </c>
      <c r="C16" s="154"/>
      <c r="D16" s="154"/>
      <c r="E16" s="154"/>
      <c r="F16" s="155"/>
      <c r="G16" s="155"/>
      <c r="H16" s="154"/>
      <c r="I16" s="154"/>
    </row>
    <row r="17" spans="1:2" ht="28" x14ac:dyDescent="0.3">
      <c r="A17" s="154" t="s">
        <v>907</v>
      </c>
      <c r="B17" s="155">
        <v>0.50946015048579152</v>
      </c>
    </row>
    <row r="58" spans="1:16" ht="28" x14ac:dyDescent="0.35">
      <c r="B58" s="151"/>
      <c r="C58" s="151"/>
      <c r="D58" s="151"/>
      <c r="E58" s="151"/>
      <c r="F58" s="151"/>
      <c r="G58" s="151"/>
      <c r="H58" s="151"/>
      <c r="I58" s="151"/>
      <c r="J58" s="151"/>
      <c r="K58" s="151"/>
      <c r="L58" s="151"/>
    </row>
    <row r="59" spans="1:16" ht="28" x14ac:dyDescent="0.35">
      <c r="A59" s="151"/>
      <c r="B59" s="152"/>
      <c r="C59" s="152"/>
      <c r="D59" s="152"/>
      <c r="E59" s="152"/>
      <c r="F59" s="153"/>
      <c r="G59" s="153"/>
      <c r="H59" s="152"/>
      <c r="I59" s="152"/>
      <c r="J59" s="152"/>
      <c r="K59" s="152"/>
      <c r="L59" s="152"/>
    </row>
    <row r="60" spans="1:16" ht="25" x14ac:dyDescent="0.25">
      <c r="A60" s="152" t="s">
        <v>911</v>
      </c>
      <c r="B60" s="152"/>
      <c r="C60" s="152"/>
      <c r="D60" s="152"/>
      <c r="E60" s="152"/>
      <c r="F60" s="152"/>
      <c r="G60" s="152"/>
      <c r="H60" s="152"/>
      <c r="I60" s="152"/>
      <c r="J60" s="152"/>
      <c r="K60" s="152"/>
      <c r="L60" s="152"/>
    </row>
    <row r="61" spans="1:16" ht="25" customHeight="1" x14ac:dyDescent="0.25">
      <c r="A61" s="152" t="s">
        <v>909</v>
      </c>
      <c r="B61" s="181"/>
      <c r="C61" s="181"/>
      <c r="D61" s="181"/>
      <c r="E61" s="181"/>
      <c r="F61" s="181"/>
      <c r="G61" s="181"/>
      <c r="H61" s="181"/>
      <c r="I61" s="181"/>
      <c r="J61" s="181"/>
      <c r="K61" s="181"/>
      <c r="L61" s="181"/>
      <c r="M61" s="181"/>
      <c r="N61" s="181"/>
      <c r="O61" s="181"/>
      <c r="P61" s="181"/>
    </row>
    <row r="62" spans="1:16" ht="25" customHeight="1" x14ac:dyDescent="0.25">
      <c r="A62" s="181" t="s">
        <v>910</v>
      </c>
      <c r="B62" s="181"/>
      <c r="C62" s="181"/>
      <c r="D62" s="181"/>
      <c r="E62" s="181"/>
      <c r="F62" s="181"/>
      <c r="G62" s="181"/>
      <c r="H62" s="181"/>
      <c r="I62" s="181"/>
      <c r="J62" s="181"/>
      <c r="K62" s="152"/>
      <c r="L62" s="152"/>
    </row>
    <row r="63" spans="1:16" ht="33" customHeight="1" x14ac:dyDescent="0.15">
      <c r="A63" s="201" t="s">
        <v>912</v>
      </c>
      <c r="B63" s="201"/>
      <c r="C63" s="201"/>
      <c r="D63" s="201"/>
      <c r="E63" s="201"/>
      <c r="F63" s="201"/>
    </row>
    <row r="64" spans="1:16" ht="28" x14ac:dyDescent="0.35">
      <c r="B64" s="151"/>
      <c r="C64" s="151"/>
      <c r="D64" s="151"/>
      <c r="E64" s="151"/>
      <c r="F64" s="151"/>
      <c r="G64" s="151"/>
      <c r="H64" s="151"/>
      <c r="I64" s="151"/>
      <c r="J64" s="151"/>
      <c r="K64" s="151"/>
      <c r="L64" s="151"/>
    </row>
    <row r="65" spans="1:1" ht="28" x14ac:dyDescent="0.35">
      <c r="A65" s="151" t="s">
        <v>908</v>
      </c>
    </row>
  </sheetData>
  <mergeCells count="1">
    <mergeCell ref="A63:F6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927D-78BF-3746-AB20-05064F2FBB96}">
  <dimension ref="A1:N193"/>
  <sheetViews>
    <sheetView topLeftCell="J1" workbookViewId="0">
      <selection activeCell="K4" sqref="K4"/>
    </sheetView>
  </sheetViews>
  <sheetFormatPr baseColWidth="10" defaultRowHeight="13" x14ac:dyDescent="0.15"/>
  <cols>
    <col min="2" max="2" width="37" customWidth="1"/>
    <col min="3" max="3" width="51.33203125" customWidth="1"/>
    <col min="4" max="4" width="19" customWidth="1"/>
    <col min="5" max="5" width="19.83203125" customWidth="1"/>
    <col min="6" max="6" width="16.83203125" customWidth="1"/>
    <col min="7" max="7" width="23.33203125" customWidth="1"/>
    <col min="8" max="8" width="24" customWidth="1"/>
    <col min="9" max="9" width="23.6640625" customWidth="1"/>
    <col min="10" max="10" width="22.6640625" customWidth="1"/>
    <col min="11" max="11" width="25.83203125" customWidth="1"/>
    <col min="12" max="12" width="18.33203125" style="144" customWidth="1"/>
    <col min="13" max="13" width="12" style="144" customWidth="1"/>
    <col min="14" max="14" width="59.5" customWidth="1"/>
  </cols>
  <sheetData>
    <row r="1" spans="1:14" ht="38" customHeight="1" x14ac:dyDescent="0.15">
      <c r="A1" s="134" t="s">
        <v>21</v>
      </c>
      <c r="B1" s="135" t="s">
        <v>684</v>
      </c>
      <c r="C1" s="135" t="s">
        <v>8</v>
      </c>
      <c r="D1" s="136" t="s">
        <v>876</v>
      </c>
      <c r="E1" s="136" t="s">
        <v>877</v>
      </c>
      <c r="F1" s="136" t="s">
        <v>878</v>
      </c>
      <c r="G1" s="136" t="s">
        <v>879</v>
      </c>
      <c r="H1" s="136" t="s">
        <v>880</v>
      </c>
      <c r="I1" s="136" t="s">
        <v>881</v>
      </c>
      <c r="J1" s="136" t="s">
        <v>882</v>
      </c>
      <c r="K1" s="137" t="s">
        <v>883</v>
      </c>
      <c r="L1" s="143" t="s">
        <v>884</v>
      </c>
      <c r="M1" s="143" t="s">
        <v>885</v>
      </c>
      <c r="N1" s="136" t="s">
        <v>896</v>
      </c>
    </row>
    <row r="2" spans="1:14" ht="16" x14ac:dyDescent="0.25">
      <c r="A2" s="130" t="s">
        <v>283</v>
      </c>
      <c r="B2" s="47" t="s">
        <v>874</v>
      </c>
      <c r="C2" s="29" t="s">
        <v>285</v>
      </c>
      <c r="D2" s="30">
        <v>18509</v>
      </c>
      <c r="E2" s="30">
        <v>0</v>
      </c>
      <c r="F2" s="30">
        <v>8667</v>
      </c>
      <c r="G2" s="30">
        <v>27176</v>
      </c>
      <c r="H2" s="30">
        <v>11566</v>
      </c>
      <c r="I2" s="30">
        <v>0</v>
      </c>
      <c r="J2" s="30">
        <v>8667</v>
      </c>
      <c r="K2" s="132">
        <v>20233</v>
      </c>
      <c r="L2" s="149">
        <f t="shared" ref="L2:L33" si="0">IFERROR(K2/G2, "Missing Data")</f>
        <v>0.74451722107742124</v>
      </c>
      <c r="M2" s="145">
        <f>IFERROR(IF(D2=0,"",H2/D2), "Missing Data")</f>
        <v>0.62488519098816797</v>
      </c>
      <c r="N2" s="3" t="str">
        <f>_xlfn.XLOOKUP(AE[[#This Row],[Code]], 'System Mapping'!$A:$A, 'System Mapping'!$D:$D, "Not Found")</f>
        <v>NHS Central East Integrated Care Board  </v>
      </c>
    </row>
    <row r="3" spans="1:14" ht="15" x14ac:dyDescent="0.2">
      <c r="A3" s="131" t="s">
        <v>302</v>
      </c>
      <c r="B3" s="105" t="s">
        <v>874</v>
      </c>
      <c r="C3" s="32" t="s">
        <v>303</v>
      </c>
      <c r="D3" s="33">
        <v>12085</v>
      </c>
      <c r="E3" s="33">
        <v>0</v>
      </c>
      <c r="F3" s="33">
        <v>5862</v>
      </c>
      <c r="G3" s="33">
        <v>17947</v>
      </c>
      <c r="H3" s="33">
        <v>6528</v>
      </c>
      <c r="I3" s="33">
        <v>0</v>
      </c>
      <c r="J3" s="33">
        <v>5762</v>
      </c>
      <c r="K3" s="133">
        <v>12290</v>
      </c>
      <c r="L3" s="147">
        <f t="shared" si="0"/>
        <v>0.68479411600824647</v>
      </c>
      <c r="M3" s="146">
        <f>IFERROR(IF(D3=0,"",H3/D3), "Missing Data")</f>
        <v>0.54017376913529169</v>
      </c>
      <c r="N3" s="3" t="str">
        <f>_xlfn.XLOOKUP(AE[[#This Row],[Code]], 'System Mapping'!$A:$A, 'System Mapping'!$D:$D, "Not Found")</f>
        <v>NHS Central East Integrated Care Board  </v>
      </c>
    </row>
    <row r="4" spans="1:14" ht="15" x14ac:dyDescent="0.2">
      <c r="A4" s="131" t="s">
        <v>320</v>
      </c>
      <c r="B4" s="105" t="s">
        <v>874</v>
      </c>
      <c r="C4" s="32" t="s">
        <v>865</v>
      </c>
      <c r="D4" s="33">
        <v>9588</v>
      </c>
      <c r="E4" s="33">
        <v>0</v>
      </c>
      <c r="F4" s="33">
        <v>9229</v>
      </c>
      <c r="G4" s="33">
        <v>18817</v>
      </c>
      <c r="H4" s="33">
        <v>4512</v>
      </c>
      <c r="I4" s="33">
        <v>0</v>
      </c>
      <c r="J4" s="33">
        <v>9107</v>
      </c>
      <c r="K4" s="133">
        <v>13619</v>
      </c>
      <c r="L4" s="147">
        <f t="shared" si="0"/>
        <v>0.7237604293989478</v>
      </c>
      <c r="M4" s="146">
        <f t="shared" ref="M4:M33" si="1">IFERROR(IF(D4=0,"",H4/D4), "Missing Data")</f>
        <v>0.47058823529411764</v>
      </c>
      <c r="N4" s="3" t="str">
        <f>_xlfn.XLOOKUP(AE[[#This Row],[Code]], 'System Mapping'!$A:$A, 'System Mapping'!$D:$D, "Not Found")</f>
        <v>NHS Central East Integrated Care Board  </v>
      </c>
    </row>
    <row r="5" spans="1:14" ht="15" x14ac:dyDescent="0.2">
      <c r="A5" s="131" t="s">
        <v>396</v>
      </c>
      <c r="B5" s="105" t="s">
        <v>874</v>
      </c>
      <c r="C5" s="32" t="s">
        <v>397</v>
      </c>
      <c r="D5" s="33">
        <v>12846</v>
      </c>
      <c r="E5" s="33">
        <v>0</v>
      </c>
      <c r="F5" s="33">
        <v>12888</v>
      </c>
      <c r="G5" s="33">
        <v>25734</v>
      </c>
      <c r="H5" s="33">
        <v>7552</v>
      </c>
      <c r="I5" s="33">
        <v>0</v>
      </c>
      <c r="J5" s="33">
        <v>11936</v>
      </c>
      <c r="K5" s="133">
        <v>19488</v>
      </c>
      <c r="L5" s="147">
        <f t="shared" si="0"/>
        <v>0.75728608067148517</v>
      </c>
      <c r="M5" s="146">
        <f t="shared" si="1"/>
        <v>0.58788728008718671</v>
      </c>
      <c r="N5" s="3" t="str">
        <f>_xlfn.XLOOKUP(AE[[#This Row],[Code]], 'System Mapping'!$A:$A, 'System Mapping'!$D:$D, "Not Found")</f>
        <v>NHS Norfolk and Suffolk Integrated Care Board</v>
      </c>
    </row>
    <row r="6" spans="1:14" x14ac:dyDescent="0.15">
      <c r="A6" s="131" t="s">
        <v>322</v>
      </c>
      <c r="B6" s="105" t="s">
        <v>874</v>
      </c>
      <c r="C6" s="32" t="s">
        <v>323</v>
      </c>
      <c r="D6" s="33">
        <v>0</v>
      </c>
      <c r="E6" s="33">
        <v>0</v>
      </c>
      <c r="F6" s="33">
        <v>1195</v>
      </c>
      <c r="G6" s="33">
        <v>1195</v>
      </c>
      <c r="H6" s="33">
        <v>0</v>
      </c>
      <c r="I6" s="33">
        <v>0</v>
      </c>
      <c r="J6" s="33">
        <v>1129</v>
      </c>
      <c r="K6" s="133">
        <v>1129</v>
      </c>
      <c r="L6" s="147">
        <f t="shared" si="0"/>
        <v>0.94476987447698746</v>
      </c>
      <c r="M6" s="147" t="str">
        <f t="shared" si="1"/>
        <v/>
      </c>
      <c r="N6" s="3" t="str">
        <f>_xlfn.XLOOKUP(AE[[#This Row],[Code]], 'System Mapping'!$A:$A, 'System Mapping'!$D:$D, "Not Found")</f>
        <v>NHS Central East Integrated Care Board  </v>
      </c>
    </row>
    <row r="7" spans="1:14" x14ac:dyDescent="0.15">
      <c r="A7" s="131" t="s">
        <v>321</v>
      </c>
      <c r="B7" s="105" t="s">
        <v>874</v>
      </c>
      <c r="C7" s="32" t="s">
        <v>757</v>
      </c>
      <c r="D7" s="33">
        <v>0</v>
      </c>
      <c r="E7" s="33">
        <v>0</v>
      </c>
      <c r="F7" s="33">
        <v>2328</v>
      </c>
      <c r="G7" s="33">
        <v>2328</v>
      </c>
      <c r="H7" s="33">
        <v>0</v>
      </c>
      <c r="I7" s="33">
        <v>0</v>
      </c>
      <c r="J7" s="33">
        <v>2208</v>
      </c>
      <c r="K7" s="133">
        <v>2208</v>
      </c>
      <c r="L7" s="147">
        <f t="shared" si="0"/>
        <v>0.94845360824742264</v>
      </c>
      <c r="M7" s="147" t="str">
        <f t="shared" si="1"/>
        <v/>
      </c>
      <c r="N7" s="3" t="str">
        <f>_xlfn.XLOOKUP(AE[[#This Row],[Code]], 'System Mapping'!$A:$A, 'System Mapping'!$D:$D, "Not Found")</f>
        <v>NHS Central East Integrated Care Board  </v>
      </c>
    </row>
    <row r="8" spans="1:14" x14ac:dyDescent="0.15">
      <c r="A8" s="131" t="s">
        <v>368</v>
      </c>
      <c r="B8" s="105" t="s">
        <v>874</v>
      </c>
      <c r="C8" s="32" t="s">
        <v>369</v>
      </c>
      <c r="D8" s="33">
        <v>7874</v>
      </c>
      <c r="E8" s="33">
        <v>0</v>
      </c>
      <c r="F8" s="33">
        <v>1582</v>
      </c>
      <c r="G8" s="33">
        <v>9456</v>
      </c>
      <c r="H8" s="33">
        <v>4655</v>
      </c>
      <c r="I8" s="33">
        <v>0</v>
      </c>
      <c r="J8" s="33">
        <v>1582</v>
      </c>
      <c r="K8" s="133">
        <v>6237</v>
      </c>
      <c r="L8" s="147">
        <f t="shared" si="0"/>
        <v>0.65958121827411165</v>
      </c>
      <c r="M8" s="147">
        <f t="shared" si="1"/>
        <v>0.59118618237236475</v>
      </c>
      <c r="N8" s="3" t="str">
        <f>_xlfn.XLOOKUP(AE[[#This Row],[Code]], 'System Mapping'!$A:$A, 'System Mapping'!$D:$D, "Not Found")</f>
        <v>NHS Norfolk and Suffolk Integrated Care Board</v>
      </c>
    </row>
    <row r="9" spans="1:14" x14ac:dyDescent="0.15">
      <c r="A9" s="131" t="s">
        <v>364</v>
      </c>
      <c r="B9" s="105" t="s">
        <v>874</v>
      </c>
      <c r="C9" s="32" t="s">
        <v>811</v>
      </c>
      <c r="D9" s="33">
        <v>28628</v>
      </c>
      <c r="E9" s="33">
        <v>0</v>
      </c>
      <c r="F9" s="33">
        <v>8515</v>
      </c>
      <c r="G9" s="33">
        <v>37143</v>
      </c>
      <c r="H9" s="33">
        <v>17700</v>
      </c>
      <c r="I9" s="33">
        <v>0</v>
      </c>
      <c r="J9" s="33">
        <v>8154</v>
      </c>
      <c r="K9" s="133">
        <v>25854</v>
      </c>
      <c r="L9" s="147">
        <f t="shared" si="0"/>
        <v>0.69606655359017855</v>
      </c>
      <c r="M9" s="147">
        <f t="shared" si="1"/>
        <v>0.61827581388850072</v>
      </c>
      <c r="N9" s="3" t="str">
        <f>_xlfn.XLOOKUP(AE[[#This Row],[Code]], 'System Mapping'!$A:$A, 'System Mapping'!$D:$D, "Not Found")</f>
        <v>NHS Essex Integrated Care Board</v>
      </c>
    </row>
    <row r="10" spans="1:14" x14ac:dyDescent="0.15">
      <c r="A10" s="131" t="s">
        <v>288</v>
      </c>
      <c r="B10" s="105" t="s">
        <v>874</v>
      </c>
      <c r="C10" s="32" t="s">
        <v>289</v>
      </c>
      <c r="D10" s="33">
        <v>9420</v>
      </c>
      <c r="E10" s="33">
        <v>0</v>
      </c>
      <c r="F10" s="33">
        <v>6789</v>
      </c>
      <c r="G10" s="33">
        <v>16209</v>
      </c>
      <c r="H10" s="33">
        <v>4770</v>
      </c>
      <c r="I10" s="33">
        <v>0</v>
      </c>
      <c r="J10" s="33">
        <v>6611</v>
      </c>
      <c r="K10" s="133">
        <v>11381</v>
      </c>
      <c r="L10" s="147">
        <f t="shared" si="0"/>
        <v>0.70214078598309582</v>
      </c>
      <c r="M10" s="147">
        <f t="shared" si="1"/>
        <v>0.50636942675159236</v>
      </c>
      <c r="N10" s="3" t="str">
        <f>_xlfn.XLOOKUP(AE[[#This Row],[Code]], 'System Mapping'!$A:$A, 'System Mapping'!$D:$D, "Not Found")</f>
        <v>NHS Central East Integrated Care Board  </v>
      </c>
    </row>
    <row r="11" spans="1:14" x14ac:dyDescent="0.15">
      <c r="A11" s="131" t="s">
        <v>370</v>
      </c>
      <c r="B11" s="105" t="s">
        <v>874</v>
      </c>
      <c r="C11" s="32" t="s">
        <v>713</v>
      </c>
      <c r="D11" s="33">
        <v>13687</v>
      </c>
      <c r="E11" s="33">
        <v>0</v>
      </c>
      <c r="F11" s="33">
        <v>8042</v>
      </c>
      <c r="G11" s="33">
        <v>21729</v>
      </c>
      <c r="H11" s="33">
        <v>9311</v>
      </c>
      <c r="I11" s="33">
        <v>0</v>
      </c>
      <c r="J11" s="33">
        <v>8035</v>
      </c>
      <c r="K11" s="133">
        <v>17346</v>
      </c>
      <c r="L11" s="147">
        <f t="shared" si="0"/>
        <v>0.7982880022090294</v>
      </c>
      <c r="M11" s="147">
        <f t="shared" si="1"/>
        <v>0.68028055819390665</v>
      </c>
      <c r="N11" s="3" t="str">
        <f>_xlfn.XLOOKUP(AE[[#This Row],[Code]], 'System Mapping'!$A:$A, 'System Mapping'!$D:$D, "Not Found")</f>
        <v>NHS Norfolk and Suffolk Integrated Care Board</v>
      </c>
    </row>
    <row r="12" spans="1:14" x14ac:dyDescent="0.15">
      <c r="A12" s="131" t="s">
        <v>306</v>
      </c>
      <c r="B12" s="105" t="s">
        <v>874</v>
      </c>
      <c r="C12" s="32" t="s">
        <v>714</v>
      </c>
      <c r="D12" s="33">
        <v>17985</v>
      </c>
      <c r="E12" s="33">
        <v>0</v>
      </c>
      <c r="F12" s="33">
        <v>3887</v>
      </c>
      <c r="G12" s="33">
        <v>21872</v>
      </c>
      <c r="H12" s="33">
        <v>10986</v>
      </c>
      <c r="I12" s="33">
        <v>0</v>
      </c>
      <c r="J12" s="33">
        <v>3617</v>
      </c>
      <c r="K12" s="133">
        <v>14603</v>
      </c>
      <c r="L12" s="147">
        <f t="shared" si="0"/>
        <v>0.66765727871250913</v>
      </c>
      <c r="M12" s="147">
        <f t="shared" si="1"/>
        <v>0.61084236864053376</v>
      </c>
      <c r="N12" s="3" t="str">
        <f>_xlfn.XLOOKUP(AE[[#This Row],[Code]], 'System Mapping'!$A:$A, 'System Mapping'!$D:$D, "Not Found")</f>
        <v>NHS Central East Integrated Care Board  </v>
      </c>
    </row>
    <row r="13" spans="1:14" x14ac:dyDescent="0.15">
      <c r="A13" s="131" t="s">
        <v>290</v>
      </c>
      <c r="B13" s="105" t="s">
        <v>874</v>
      </c>
      <c r="C13" s="32" t="s">
        <v>857</v>
      </c>
      <c r="D13" s="33">
        <v>0</v>
      </c>
      <c r="E13" s="33">
        <v>0</v>
      </c>
      <c r="F13" s="33">
        <v>2335</v>
      </c>
      <c r="G13" s="33">
        <v>2335</v>
      </c>
      <c r="H13" s="33">
        <v>0</v>
      </c>
      <c r="I13" s="33">
        <v>0</v>
      </c>
      <c r="J13" s="33">
        <v>2335</v>
      </c>
      <c r="K13" s="133">
        <v>2335</v>
      </c>
      <c r="L13" s="147">
        <f t="shared" si="0"/>
        <v>1</v>
      </c>
      <c r="M13" s="147" t="str">
        <f t="shared" si="1"/>
        <v/>
      </c>
      <c r="N13" s="3" t="str">
        <f>_xlfn.XLOOKUP(AE[[#This Row],[Code]], 'System Mapping'!$A:$A, 'System Mapping'!$D:$D, "Not Found")</f>
        <v>NHS Central East Integrated Care Board  </v>
      </c>
    </row>
    <row r="14" spans="1:14" x14ac:dyDescent="0.15">
      <c r="A14" s="131" t="s">
        <v>324</v>
      </c>
      <c r="B14" s="105" t="s">
        <v>874</v>
      </c>
      <c r="C14" s="32" t="s">
        <v>325</v>
      </c>
      <c r="D14" s="33">
        <v>9234</v>
      </c>
      <c r="E14" s="33">
        <v>0</v>
      </c>
      <c r="F14" s="33">
        <v>2565</v>
      </c>
      <c r="G14" s="33">
        <v>11799</v>
      </c>
      <c r="H14" s="33">
        <v>6590</v>
      </c>
      <c r="I14" s="33">
        <v>0</v>
      </c>
      <c r="J14" s="33">
        <v>2565</v>
      </c>
      <c r="K14" s="133">
        <v>9155</v>
      </c>
      <c r="L14" s="147">
        <f t="shared" si="0"/>
        <v>0.77591321298415117</v>
      </c>
      <c r="M14" s="147">
        <f t="shared" si="1"/>
        <v>0.71366688325752659</v>
      </c>
      <c r="N14" s="3" t="str">
        <f>_xlfn.XLOOKUP(AE[[#This Row],[Code]], 'System Mapping'!$A:$A, 'System Mapping'!$D:$D, "Not Found")</f>
        <v>NHS Essex Integrated Care Board</v>
      </c>
    </row>
    <row r="15" spans="1:14" x14ac:dyDescent="0.15">
      <c r="A15" s="131" t="s">
        <v>373</v>
      </c>
      <c r="B15" s="105" t="s">
        <v>874</v>
      </c>
      <c r="C15" s="32" t="s">
        <v>715</v>
      </c>
      <c r="D15" s="33">
        <v>6636</v>
      </c>
      <c r="E15" s="33">
        <v>0</v>
      </c>
      <c r="F15" s="33">
        <v>1297</v>
      </c>
      <c r="G15" s="33">
        <v>7933</v>
      </c>
      <c r="H15" s="33">
        <v>3844</v>
      </c>
      <c r="I15" s="33">
        <v>0</v>
      </c>
      <c r="J15" s="33">
        <v>1297</v>
      </c>
      <c r="K15" s="133">
        <v>5141</v>
      </c>
      <c r="L15" s="147">
        <f t="shared" si="0"/>
        <v>0.64805243917811672</v>
      </c>
      <c r="M15" s="147">
        <f t="shared" si="1"/>
        <v>0.57926461723930078</v>
      </c>
      <c r="N15" s="3" t="str">
        <f>_xlfn.XLOOKUP(AE[[#This Row],[Code]], 'System Mapping'!$A:$A, 'System Mapping'!$D:$D, "Not Found")</f>
        <v>NHS Norfolk and Suffolk Integrated Care Board</v>
      </c>
    </row>
    <row r="16" spans="1:14" x14ac:dyDescent="0.15">
      <c r="A16" s="131" t="s">
        <v>326</v>
      </c>
      <c r="B16" s="105" t="s">
        <v>874</v>
      </c>
      <c r="C16" s="32" t="s">
        <v>327</v>
      </c>
      <c r="D16" s="33">
        <v>8453</v>
      </c>
      <c r="E16" s="33">
        <v>0</v>
      </c>
      <c r="F16" s="33">
        <v>9787</v>
      </c>
      <c r="G16" s="33">
        <v>18240</v>
      </c>
      <c r="H16" s="33">
        <v>6176</v>
      </c>
      <c r="I16" s="33">
        <v>0</v>
      </c>
      <c r="J16" s="33">
        <v>9733</v>
      </c>
      <c r="K16" s="133">
        <v>15909</v>
      </c>
      <c r="L16" s="147">
        <f t="shared" si="0"/>
        <v>0.87220394736842111</v>
      </c>
      <c r="M16" s="147">
        <f t="shared" si="1"/>
        <v>0.73062817934461133</v>
      </c>
      <c r="N16" s="3" t="str">
        <f>_xlfn.XLOOKUP(AE[[#This Row],[Code]], 'System Mapping'!$A:$A, 'System Mapping'!$D:$D, "Not Found")</f>
        <v>NHS Central East Integrated Care Board  </v>
      </c>
    </row>
    <row r="17" spans="1:14" x14ac:dyDescent="0.15">
      <c r="A17" s="131" t="s">
        <v>402</v>
      </c>
      <c r="B17" s="105" t="s">
        <v>874</v>
      </c>
      <c r="C17" s="32" t="s">
        <v>403</v>
      </c>
      <c r="D17" s="33">
        <v>8324</v>
      </c>
      <c r="E17" s="33">
        <v>0</v>
      </c>
      <c r="F17" s="33">
        <v>940</v>
      </c>
      <c r="G17" s="33">
        <v>9264</v>
      </c>
      <c r="H17" s="33">
        <v>6633</v>
      </c>
      <c r="I17" s="33">
        <v>0</v>
      </c>
      <c r="J17" s="33">
        <v>940</v>
      </c>
      <c r="K17" s="133">
        <v>7573</v>
      </c>
      <c r="L17" s="147">
        <f t="shared" si="0"/>
        <v>0.81746545768566492</v>
      </c>
      <c r="M17" s="147">
        <f t="shared" si="1"/>
        <v>0.79685247477174437</v>
      </c>
      <c r="N17" s="3" t="str">
        <f>_xlfn.XLOOKUP(AE[[#This Row],[Code]], 'System Mapping'!$A:$A, 'System Mapping'!$D:$D, "Not Found")</f>
        <v>NHS Norfolk and Suffolk Integrated Care Board</v>
      </c>
    </row>
    <row r="18" spans="1:14" x14ac:dyDescent="0.15">
      <c r="A18" s="131" t="s">
        <v>162</v>
      </c>
      <c r="B18" s="105" t="s">
        <v>760</v>
      </c>
      <c r="C18" s="32" t="s">
        <v>855</v>
      </c>
      <c r="D18" s="33">
        <v>0</v>
      </c>
      <c r="E18" s="33">
        <v>0</v>
      </c>
      <c r="F18" s="33">
        <v>2883</v>
      </c>
      <c r="G18" s="33">
        <v>2883</v>
      </c>
      <c r="H18" s="33">
        <v>0</v>
      </c>
      <c r="I18" s="33">
        <v>0</v>
      </c>
      <c r="J18" s="33">
        <v>2851</v>
      </c>
      <c r="K18" s="133">
        <v>2851</v>
      </c>
      <c r="L18" s="147">
        <f t="shared" si="0"/>
        <v>0.98890045091918144</v>
      </c>
      <c r="M18" s="147" t="str">
        <f t="shared" si="1"/>
        <v/>
      </c>
      <c r="N18" s="3" t="str">
        <f>_xlfn.XLOOKUP(AE[[#This Row],[Code]], 'System Mapping'!$A:$A, 'System Mapping'!$D:$D, "Not Found")</f>
        <v>NHS North East London Integrated Care Board</v>
      </c>
    </row>
    <row r="19" spans="1:14" x14ac:dyDescent="0.15">
      <c r="A19" s="131" t="s">
        <v>130</v>
      </c>
      <c r="B19" s="105" t="s">
        <v>760</v>
      </c>
      <c r="C19" s="32" t="s">
        <v>716</v>
      </c>
      <c r="D19" s="33">
        <v>14321</v>
      </c>
      <c r="E19" s="33">
        <v>2471</v>
      </c>
      <c r="F19" s="33">
        <v>16018</v>
      </c>
      <c r="G19" s="33">
        <v>32810</v>
      </c>
      <c r="H19" s="33">
        <v>9013</v>
      </c>
      <c r="I19" s="33">
        <v>2212</v>
      </c>
      <c r="J19" s="33">
        <v>15578</v>
      </c>
      <c r="K19" s="133">
        <v>26803</v>
      </c>
      <c r="L19" s="147">
        <f t="shared" si="0"/>
        <v>0.81691557451996344</v>
      </c>
      <c r="M19" s="147">
        <f t="shared" si="1"/>
        <v>0.6293554919349208</v>
      </c>
      <c r="N19" s="3" t="str">
        <f>_xlfn.XLOOKUP(AE[[#This Row],[Code]], 'System Mapping'!$A:$A, 'System Mapping'!$D:$D, "Not Found")</f>
        <v>NHS North East London Integrated Care Board</v>
      </c>
    </row>
    <row r="20" spans="1:14" x14ac:dyDescent="0.15">
      <c r="A20" s="131" t="s">
        <v>134</v>
      </c>
      <c r="B20" s="105" t="s">
        <v>760</v>
      </c>
      <c r="C20" s="32" t="s">
        <v>135</v>
      </c>
      <c r="D20" s="33">
        <v>27253</v>
      </c>
      <c r="E20" s="33">
        <v>895</v>
      </c>
      <c r="F20" s="33">
        <v>18702</v>
      </c>
      <c r="G20" s="33">
        <v>46850</v>
      </c>
      <c r="H20" s="33">
        <v>16611</v>
      </c>
      <c r="I20" s="33">
        <v>894</v>
      </c>
      <c r="J20" s="33">
        <v>17167</v>
      </c>
      <c r="K20" s="133">
        <v>34672</v>
      </c>
      <c r="L20" s="147">
        <f t="shared" si="0"/>
        <v>0.74006403415154753</v>
      </c>
      <c r="M20" s="147">
        <f t="shared" si="1"/>
        <v>0.60951087953619787</v>
      </c>
      <c r="N20" s="3" t="str">
        <f>_xlfn.XLOOKUP(AE[[#This Row],[Code]], 'System Mapping'!$A:$A, 'System Mapping'!$D:$D, "Not Found")</f>
        <v>NHS North East London Integrated Care Board</v>
      </c>
    </row>
    <row r="21" spans="1:14" x14ac:dyDescent="0.15">
      <c r="A21" s="131" t="s">
        <v>230</v>
      </c>
      <c r="B21" s="105" t="s">
        <v>760</v>
      </c>
      <c r="C21" s="32" t="s">
        <v>762</v>
      </c>
      <c r="D21" s="33">
        <v>0</v>
      </c>
      <c r="E21" s="33">
        <v>0</v>
      </c>
      <c r="F21" s="33">
        <v>3736</v>
      </c>
      <c r="G21" s="33">
        <v>3736</v>
      </c>
      <c r="H21" s="33">
        <v>0</v>
      </c>
      <c r="I21" s="33">
        <v>0</v>
      </c>
      <c r="J21" s="33">
        <v>3722</v>
      </c>
      <c r="K21" s="133">
        <v>3722</v>
      </c>
      <c r="L21" s="147">
        <f t="shared" si="0"/>
        <v>0.99625267665952888</v>
      </c>
      <c r="M21" s="147" t="str">
        <f t="shared" si="1"/>
        <v/>
      </c>
      <c r="N21" s="3" t="str">
        <f>_xlfn.XLOOKUP(AE[[#This Row],[Code]], 'System Mapping'!$A:$A, 'System Mapping'!$D:$D, "Not Found")</f>
        <v>NHS South East London Integrated Care Board</v>
      </c>
    </row>
    <row r="22" spans="1:14" x14ac:dyDescent="0.15">
      <c r="A22" s="131" t="s">
        <v>203</v>
      </c>
      <c r="B22" s="105" t="s">
        <v>760</v>
      </c>
      <c r="C22" s="32" t="s">
        <v>204</v>
      </c>
      <c r="D22" s="33">
        <v>0</v>
      </c>
      <c r="E22" s="33">
        <v>0</v>
      </c>
      <c r="F22" s="33">
        <v>14327</v>
      </c>
      <c r="G22" s="33">
        <v>14327</v>
      </c>
      <c r="H22" s="33">
        <v>0</v>
      </c>
      <c r="I22" s="33">
        <v>0</v>
      </c>
      <c r="J22" s="33">
        <v>13935</v>
      </c>
      <c r="K22" s="133">
        <v>13935</v>
      </c>
      <c r="L22" s="147">
        <f t="shared" si="0"/>
        <v>0.97263907307880226</v>
      </c>
      <c r="M22" s="147" t="str">
        <f t="shared" si="1"/>
        <v/>
      </c>
      <c r="N22" s="3" t="str">
        <f>_xlfn.XLOOKUP(AE[[#This Row],[Code]], 'System Mapping'!$A:$A, 'System Mapping'!$D:$D, "Not Found")</f>
        <v>NHS West and North London Integrated Care Board</v>
      </c>
    </row>
    <row r="23" spans="1:14" x14ac:dyDescent="0.15">
      <c r="A23" s="131" t="s">
        <v>207</v>
      </c>
      <c r="B23" s="105" t="s">
        <v>760</v>
      </c>
      <c r="C23" s="32" t="s">
        <v>717</v>
      </c>
      <c r="D23" s="33">
        <v>21929</v>
      </c>
      <c r="E23" s="33">
        <v>0</v>
      </c>
      <c r="F23" s="33">
        <v>6840</v>
      </c>
      <c r="G23" s="33">
        <v>28769</v>
      </c>
      <c r="H23" s="33">
        <v>15910</v>
      </c>
      <c r="I23" s="33">
        <v>0</v>
      </c>
      <c r="J23" s="33">
        <v>6520</v>
      </c>
      <c r="K23" s="133">
        <v>22430</v>
      </c>
      <c r="L23" s="147">
        <f t="shared" si="0"/>
        <v>0.77965866036358578</v>
      </c>
      <c r="M23" s="147">
        <f t="shared" si="1"/>
        <v>0.72552327967531582</v>
      </c>
      <c r="N23" s="3" t="str">
        <f>_xlfn.XLOOKUP(AE[[#This Row],[Code]], 'System Mapping'!$A:$A, 'System Mapping'!$D:$D, "Not Found")</f>
        <v>NHS West and North London Integrated Care Board</v>
      </c>
    </row>
    <row r="24" spans="1:14" x14ac:dyDescent="0.15">
      <c r="A24" s="131" t="s">
        <v>250</v>
      </c>
      <c r="B24" s="105" t="s">
        <v>760</v>
      </c>
      <c r="C24" s="32" t="s">
        <v>251</v>
      </c>
      <c r="D24" s="33">
        <v>13804</v>
      </c>
      <c r="E24" s="33">
        <v>0</v>
      </c>
      <c r="F24" s="33">
        <v>4657</v>
      </c>
      <c r="G24" s="33">
        <v>18461</v>
      </c>
      <c r="H24" s="33">
        <v>8710</v>
      </c>
      <c r="I24" s="33">
        <v>0</v>
      </c>
      <c r="J24" s="33">
        <v>4657</v>
      </c>
      <c r="K24" s="133">
        <v>13367</v>
      </c>
      <c r="L24" s="147">
        <f t="shared" si="0"/>
        <v>0.72406695195276527</v>
      </c>
      <c r="M24" s="147">
        <f t="shared" si="1"/>
        <v>0.63097652854245145</v>
      </c>
      <c r="N24" s="3" t="str">
        <f>_xlfn.XLOOKUP(AE[[#This Row],[Code]], 'System Mapping'!$A:$A, 'System Mapping'!$D:$D, "Not Found")</f>
        <v>NHS South West London Integrated Care Board</v>
      </c>
    </row>
    <row r="25" spans="1:14" x14ac:dyDescent="0.15">
      <c r="A25" s="131" t="s">
        <v>258</v>
      </c>
      <c r="B25" s="105" t="s">
        <v>760</v>
      </c>
      <c r="C25" s="32" t="s">
        <v>718</v>
      </c>
      <c r="D25" s="33">
        <v>11638</v>
      </c>
      <c r="E25" s="33">
        <v>0</v>
      </c>
      <c r="F25" s="33">
        <v>2921</v>
      </c>
      <c r="G25" s="33">
        <v>14559</v>
      </c>
      <c r="H25" s="33">
        <v>7829</v>
      </c>
      <c r="I25" s="33">
        <v>0</v>
      </c>
      <c r="J25" s="33">
        <v>2485</v>
      </c>
      <c r="K25" s="133">
        <v>10314</v>
      </c>
      <c r="L25" s="147">
        <f t="shared" si="0"/>
        <v>0.70842777663301049</v>
      </c>
      <c r="M25" s="147">
        <f t="shared" si="1"/>
        <v>0.67271008764392504</v>
      </c>
      <c r="N25" s="3" t="str">
        <f>_xlfn.XLOOKUP(AE[[#This Row],[Code]], 'System Mapping'!$A:$A, 'System Mapping'!$D:$D, "Not Found")</f>
        <v>NHS South West London Integrated Care Board</v>
      </c>
    </row>
    <row r="26" spans="1:14" x14ac:dyDescent="0.15">
      <c r="A26" s="131" t="s">
        <v>233</v>
      </c>
      <c r="B26" s="105" t="s">
        <v>760</v>
      </c>
      <c r="C26" s="32" t="s">
        <v>719</v>
      </c>
      <c r="D26" s="33">
        <v>11004</v>
      </c>
      <c r="E26" s="33">
        <v>0</v>
      </c>
      <c r="F26" s="33">
        <v>7279</v>
      </c>
      <c r="G26" s="33">
        <v>18283</v>
      </c>
      <c r="H26" s="33">
        <v>6731</v>
      </c>
      <c r="I26" s="33">
        <v>0</v>
      </c>
      <c r="J26" s="33">
        <v>7062</v>
      </c>
      <c r="K26" s="133">
        <v>13793</v>
      </c>
      <c r="L26" s="147">
        <f t="shared" si="0"/>
        <v>0.75441667122463496</v>
      </c>
      <c r="M26" s="147">
        <f t="shared" si="1"/>
        <v>0.61168665939658307</v>
      </c>
      <c r="N26" s="3" t="str">
        <f>_xlfn.XLOOKUP(AE[[#This Row],[Code]], 'System Mapping'!$A:$A, 'System Mapping'!$D:$D, "Not Found")</f>
        <v>NHS South East London Integrated Care Board</v>
      </c>
    </row>
    <row r="27" spans="1:14" x14ac:dyDescent="0.15">
      <c r="A27" s="131" t="s">
        <v>166</v>
      </c>
      <c r="B27" s="105" t="s">
        <v>760</v>
      </c>
      <c r="C27" s="32" t="s">
        <v>858</v>
      </c>
      <c r="D27" s="33">
        <v>0</v>
      </c>
      <c r="E27" s="33">
        <v>0</v>
      </c>
      <c r="F27" s="33">
        <v>2752</v>
      </c>
      <c r="G27" s="33">
        <v>2752</v>
      </c>
      <c r="H27" s="33">
        <v>0</v>
      </c>
      <c r="I27" s="33">
        <v>0</v>
      </c>
      <c r="J27" s="33">
        <v>2727</v>
      </c>
      <c r="K27" s="133">
        <v>2727</v>
      </c>
      <c r="L27" s="147">
        <f t="shared" si="0"/>
        <v>0.99091569767441856</v>
      </c>
      <c r="M27" s="147" t="str">
        <f t="shared" si="1"/>
        <v/>
      </c>
      <c r="N27" s="3" t="str">
        <f>_xlfn.XLOOKUP(AE[[#This Row],[Code]], 'System Mapping'!$A:$A, 'System Mapping'!$D:$D, "Not Found")</f>
        <v>NHS North East London Integrated Care Board</v>
      </c>
    </row>
    <row r="28" spans="1:14" x14ac:dyDescent="0.15">
      <c r="A28" s="131" t="s">
        <v>142</v>
      </c>
      <c r="B28" s="105" t="s">
        <v>760</v>
      </c>
      <c r="C28" s="32" t="s">
        <v>143</v>
      </c>
      <c r="D28" s="33">
        <v>11472</v>
      </c>
      <c r="E28" s="33">
        <v>0</v>
      </c>
      <c r="F28" s="33">
        <v>0</v>
      </c>
      <c r="G28" s="33">
        <v>11472</v>
      </c>
      <c r="H28" s="33">
        <v>9004</v>
      </c>
      <c r="I28" s="33">
        <v>0</v>
      </c>
      <c r="J28" s="33">
        <v>0</v>
      </c>
      <c r="K28" s="133">
        <v>9004</v>
      </c>
      <c r="L28" s="147">
        <f t="shared" si="0"/>
        <v>0.78486750348675038</v>
      </c>
      <c r="M28" s="147">
        <f t="shared" si="1"/>
        <v>0.78486750348675038</v>
      </c>
      <c r="N28" s="3" t="str">
        <f>_xlfn.XLOOKUP(AE[[#This Row],[Code]], 'System Mapping'!$A:$A, 'System Mapping'!$D:$D, "Not Found")</f>
        <v>NHS North East London Integrated Care Board</v>
      </c>
    </row>
    <row r="29" spans="1:14" x14ac:dyDescent="0.15">
      <c r="A29" s="131" t="s">
        <v>210</v>
      </c>
      <c r="B29" s="105" t="s">
        <v>760</v>
      </c>
      <c r="C29" s="32" t="s">
        <v>211</v>
      </c>
      <c r="D29" s="33">
        <v>12877</v>
      </c>
      <c r="E29" s="33">
        <v>4284</v>
      </c>
      <c r="F29" s="33">
        <v>7902</v>
      </c>
      <c r="G29" s="33">
        <v>25063</v>
      </c>
      <c r="H29" s="33">
        <v>7374</v>
      </c>
      <c r="I29" s="33">
        <v>4003</v>
      </c>
      <c r="J29" s="33">
        <v>7538</v>
      </c>
      <c r="K29" s="133">
        <v>18915</v>
      </c>
      <c r="L29" s="147">
        <f t="shared" si="0"/>
        <v>0.75469816063519934</v>
      </c>
      <c r="M29" s="147">
        <f t="shared" si="1"/>
        <v>0.5726489089073542</v>
      </c>
      <c r="N29" s="3" t="str">
        <f>_xlfn.XLOOKUP(AE[[#This Row],[Code]], 'System Mapping'!$A:$A, 'System Mapping'!$D:$D, "Not Found")</f>
        <v>NHS West and North London Integrated Care Board</v>
      </c>
    </row>
    <row r="30" spans="1:14" x14ac:dyDescent="0.15">
      <c r="A30" s="131" t="s">
        <v>236</v>
      </c>
      <c r="B30" s="105" t="s">
        <v>760</v>
      </c>
      <c r="C30" s="32" t="s">
        <v>720</v>
      </c>
      <c r="D30" s="33">
        <v>16246</v>
      </c>
      <c r="E30" s="33">
        <v>0</v>
      </c>
      <c r="F30" s="33">
        <v>11134</v>
      </c>
      <c r="G30" s="33">
        <v>27380</v>
      </c>
      <c r="H30" s="33">
        <v>8415</v>
      </c>
      <c r="I30" s="33">
        <v>0</v>
      </c>
      <c r="J30" s="33">
        <v>10521</v>
      </c>
      <c r="K30" s="133">
        <v>18936</v>
      </c>
      <c r="L30" s="147">
        <f t="shared" si="0"/>
        <v>0.69159970781592406</v>
      </c>
      <c r="M30" s="147">
        <f t="shared" si="1"/>
        <v>0.51797365505355164</v>
      </c>
      <c r="N30" s="3" t="str">
        <f>_xlfn.XLOOKUP(AE[[#This Row],[Code]], 'System Mapping'!$A:$A, 'System Mapping'!$D:$D, "Not Found")</f>
        <v>NHS South East London Integrated Care Board</v>
      </c>
    </row>
    <row r="31" spans="1:14" x14ac:dyDescent="0.15">
      <c r="A31" s="131" t="s">
        <v>264</v>
      </c>
      <c r="B31" s="105" t="s">
        <v>760</v>
      </c>
      <c r="C31" s="32" t="s">
        <v>861</v>
      </c>
      <c r="D31" s="33">
        <v>7544</v>
      </c>
      <c r="E31" s="33">
        <v>0</v>
      </c>
      <c r="F31" s="33">
        <v>8597</v>
      </c>
      <c r="G31" s="33">
        <v>16141</v>
      </c>
      <c r="H31" s="33">
        <v>3132</v>
      </c>
      <c r="I31" s="33">
        <v>0</v>
      </c>
      <c r="J31" s="33">
        <v>8064</v>
      </c>
      <c r="K31" s="133">
        <v>11196</v>
      </c>
      <c r="L31" s="147">
        <f t="shared" si="0"/>
        <v>0.69363732110773801</v>
      </c>
      <c r="M31" s="147">
        <f t="shared" si="1"/>
        <v>0.41516436903499471</v>
      </c>
      <c r="N31" s="3" t="str">
        <f>_xlfn.XLOOKUP(AE[[#This Row],[Code]], 'System Mapping'!$A:$A, 'System Mapping'!$D:$D, "Not Found")</f>
        <v>NHS South West London Integrated Care Board</v>
      </c>
    </row>
    <row r="32" spans="1:14" x14ac:dyDescent="0.15">
      <c r="A32" s="131" t="s">
        <v>239</v>
      </c>
      <c r="B32" s="105" t="s">
        <v>760</v>
      </c>
      <c r="C32" s="32" t="s">
        <v>721</v>
      </c>
      <c r="D32" s="33">
        <v>16492</v>
      </c>
      <c r="E32" s="33">
        <v>0</v>
      </c>
      <c r="F32" s="33">
        <v>17231</v>
      </c>
      <c r="G32" s="33">
        <v>33723</v>
      </c>
      <c r="H32" s="33">
        <v>7265</v>
      </c>
      <c r="I32" s="33">
        <v>0</v>
      </c>
      <c r="J32" s="33">
        <v>16716</v>
      </c>
      <c r="K32" s="133">
        <v>23981</v>
      </c>
      <c r="L32" s="147">
        <f t="shared" si="0"/>
        <v>0.71111704178157342</v>
      </c>
      <c r="M32" s="147">
        <f t="shared" si="1"/>
        <v>0.44051661411593501</v>
      </c>
      <c r="N32" s="3" t="str">
        <f>_xlfn.XLOOKUP(AE[[#This Row],[Code]], 'System Mapping'!$A:$A, 'System Mapping'!$D:$D, "Not Found")</f>
        <v>NHS South East London Integrated Care Board</v>
      </c>
    </row>
    <row r="33" spans="1:14" x14ac:dyDescent="0.15">
      <c r="A33" s="131" t="s">
        <v>214</v>
      </c>
      <c r="B33" s="105" t="s">
        <v>760</v>
      </c>
      <c r="C33" s="32" t="s">
        <v>215</v>
      </c>
      <c r="D33" s="33">
        <v>15095</v>
      </c>
      <c r="E33" s="33">
        <v>0</v>
      </c>
      <c r="F33" s="33">
        <v>16071</v>
      </c>
      <c r="G33" s="33">
        <v>31166</v>
      </c>
      <c r="H33" s="33">
        <v>7689</v>
      </c>
      <c r="I33" s="33">
        <v>0</v>
      </c>
      <c r="J33" s="33">
        <v>15816</v>
      </c>
      <c r="K33" s="133">
        <v>23505</v>
      </c>
      <c r="L33" s="147">
        <f t="shared" si="0"/>
        <v>0.75418725534236031</v>
      </c>
      <c r="M33" s="147">
        <f t="shared" si="1"/>
        <v>0.50937396488903608</v>
      </c>
      <c r="N33" s="3" t="str">
        <f>_xlfn.XLOOKUP(AE[[#This Row],[Code]], 'System Mapping'!$A:$A, 'System Mapping'!$D:$D, "Not Found")</f>
        <v>NHS West and North London Integrated Care Board</v>
      </c>
    </row>
    <row r="34" spans="1:14" x14ac:dyDescent="0.15">
      <c r="A34" s="131" t="s">
        <v>174</v>
      </c>
      <c r="B34" s="105" t="s">
        <v>760</v>
      </c>
      <c r="C34" s="32" t="s">
        <v>175</v>
      </c>
      <c r="D34" s="33">
        <v>0</v>
      </c>
      <c r="E34" s="33">
        <v>6569</v>
      </c>
      <c r="F34" s="33">
        <v>0</v>
      </c>
      <c r="G34" s="33">
        <v>6569</v>
      </c>
      <c r="H34" s="33">
        <v>0</v>
      </c>
      <c r="I34" s="33">
        <v>6085</v>
      </c>
      <c r="J34" s="33">
        <v>0</v>
      </c>
      <c r="K34" s="133">
        <v>6085</v>
      </c>
      <c r="L34" s="147">
        <f t="shared" ref="L34:L65" si="2">IFERROR(K34/G34, "Missing Data")</f>
        <v>0.92632059674227429</v>
      </c>
      <c r="M34" s="147" t="str">
        <f t="shared" ref="M34:M65" si="3">IFERROR(IF(D34=0,"",H34/D34), "Missing Data")</f>
        <v/>
      </c>
      <c r="N34" s="3" t="str">
        <f>_xlfn.XLOOKUP(AE[[#This Row],[Code]], 'System Mapping'!$A:$A, 'System Mapping'!$D:$D, "Not Found")</f>
        <v>NHS West and North London Integrated Care Board</v>
      </c>
    </row>
    <row r="35" spans="1:14" x14ac:dyDescent="0.15">
      <c r="A35" s="131" t="s">
        <v>146</v>
      </c>
      <c r="B35" s="105" t="s">
        <v>760</v>
      </c>
      <c r="C35" s="32" t="s">
        <v>147</v>
      </c>
      <c r="D35" s="33">
        <v>0</v>
      </c>
      <c r="E35" s="33">
        <v>0</v>
      </c>
      <c r="F35" s="33">
        <v>1626</v>
      </c>
      <c r="G35" s="33">
        <v>1626</v>
      </c>
      <c r="H35" s="33">
        <v>0</v>
      </c>
      <c r="I35" s="33">
        <v>0</v>
      </c>
      <c r="J35" s="33">
        <v>1598</v>
      </c>
      <c r="K35" s="133">
        <v>1598</v>
      </c>
      <c r="L35" s="147">
        <f t="shared" si="2"/>
        <v>0.98277982779827799</v>
      </c>
      <c r="M35" s="147" t="str">
        <f t="shared" si="3"/>
        <v/>
      </c>
      <c r="N35" s="3" t="str">
        <f>_xlfn.XLOOKUP(AE[[#This Row],[Code]], 'System Mapping'!$A:$A, 'System Mapping'!$D:$D, "Not Found")</f>
        <v>NHS North East London Integrated Care Board</v>
      </c>
    </row>
    <row r="36" spans="1:14" x14ac:dyDescent="0.15">
      <c r="A36" s="131" t="s">
        <v>178</v>
      </c>
      <c r="B36" s="105" t="s">
        <v>760</v>
      </c>
      <c r="C36" s="32" t="s">
        <v>179</v>
      </c>
      <c r="D36" s="33">
        <v>27627</v>
      </c>
      <c r="E36" s="33">
        <v>625</v>
      </c>
      <c r="F36" s="33">
        <v>16844</v>
      </c>
      <c r="G36" s="33">
        <v>45096</v>
      </c>
      <c r="H36" s="33">
        <v>19407</v>
      </c>
      <c r="I36" s="33">
        <v>624</v>
      </c>
      <c r="J36" s="33">
        <v>16090</v>
      </c>
      <c r="K36" s="133">
        <v>36121</v>
      </c>
      <c r="L36" s="147">
        <f t="shared" si="2"/>
        <v>0.80098013127550116</v>
      </c>
      <c r="M36" s="147">
        <f t="shared" si="3"/>
        <v>0.70246497991095669</v>
      </c>
      <c r="N36" s="3" t="str">
        <f>_xlfn.XLOOKUP(AE[[#This Row],[Code]], 'System Mapping'!$A:$A, 'System Mapping'!$D:$D, "Not Found")</f>
        <v>NHS West and North London Integrated Care Board</v>
      </c>
    </row>
    <row r="37" spans="1:14" x14ac:dyDescent="0.15">
      <c r="A37" s="131" t="s">
        <v>181</v>
      </c>
      <c r="B37" s="105" t="s">
        <v>760</v>
      </c>
      <c r="C37" s="32" t="s">
        <v>182</v>
      </c>
      <c r="D37" s="33">
        <v>0</v>
      </c>
      <c r="E37" s="33">
        <v>0</v>
      </c>
      <c r="F37" s="33">
        <v>0</v>
      </c>
      <c r="G37" s="33">
        <v>0</v>
      </c>
      <c r="H37" s="33">
        <v>0</v>
      </c>
      <c r="I37" s="33">
        <v>0</v>
      </c>
      <c r="J37" s="33">
        <v>0</v>
      </c>
      <c r="K37" s="133">
        <v>0</v>
      </c>
      <c r="L37" s="147" t="str">
        <f t="shared" si="2"/>
        <v>Missing Data</v>
      </c>
      <c r="M37" s="147" t="str">
        <f t="shared" si="3"/>
        <v/>
      </c>
      <c r="N37" s="3" t="str">
        <f>_xlfn.XLOOKUP(AE[[#This Row],[Code]], 'System Mapping'!$A:$A, 'System Mapping'!$D:$D, "Not Found")</f>
        <v>NHS West and North London Integrated Care Board</v>
      </c>
    </row>
    <row r="38" spans="1:14" x14ac:dyDescent="0.15">
      <c r="A38" s="131" t="s">
        <v>276</v>
      </c>
      <c r="B38" s="105" t="s">
        <v>760</v>
      </c>
      <c r="C38" s="32" t="s">
        <v>722</v>
      </c>
      <c r="D38" s="33">
        <v>10006</v>
      </c>
      <c r="E38" s="33">
        <v>0</v>
      </c>
      <c r="F38" s="33">
        <v>4101</v>
      </c>
      <c r="G38" s="33">
        <v>14107</v>
      </c>
      <c r="H38" s="33">
        <v>7127</v>
      </c>
      <c r="I38" s="33">
        <v>0</v>
      </c>
      <c r="J38" s="33">
        <v>3907</v>
      </c>
      <c r="K38" s="133">
        <v>11034</v>
      </c>
      <c r="L38" s="147">
        <f t="shared" si="2"/>
        <v>0.78216488268235629</v>
      </c>
      <c r="M38" s="147">
        <f t="shared" si="3"/>
        <v>0.71227263641814909</v>
      </c>
      <c r="N38" s="3" t="str">
        <f>_xlfn.XLOOKUP(AE[[#This Row],[Code]], 'System Mapping'!$A:$A, 'System Mapping'!$D:$D, "Not Found")</f>
        <v>NHS South West London Integrated Care Board</v>
      </c>
    </row>
    <row r="39" spans="1:14" x14ac:dyDescent="0.15">
      <c r="A39" s="131" t="s">
        <v>222</v>
      </c>
      <c r="B39" s="105" t="s">
        <v>760</v>
      </c>
      <c r="C39" s="32" t="s">
        <v>223</v>
      </c>
      <c r="D39" s="33">
        <v>5219</v>
      </c>
      <c r="E39" s="33">
        <v>0</v>
      </c>
      <c r="F39" s="33">
        <v>7405</v>
      </c>
      <c r="G39" s="33">
        <v>12624</v>
      </c>
      <c r="H39" s="33">
        <v>3001</v>
      </c>
      <c r="I39" s="33">
        <v>0</v>
      </c>
      <c r="J39" s="33">
        <v>7332</v>
      </c>
      <c r="K39" s="133">
        <v>10333</v>
      </c>
      <c r="L39" s="147">
        <f t="shared" si="2"/>
        <v>0.81852027883396705</v>
      </c>
      <c r="M39" s="147">
        <f t="shared" si="3"/>
        <v>0.57501437056907456</v>
      </c>
      <c r="N39" s="3" t="str">
        <f>_xlfn.XLOOKUP(AE[[#This Row],[Code]], 'System Mapping'!$A:$A, 'System Mapping'!$D:$D, "Not Found")</f>
        <v>NHS West and North London Integrated Care Board</v>
      </c>
    </row>
    <row r="40" spans="1:14" x14ac:dyDescent="0.15">
      <c r="A40" s="131" t="s">
        <v>188</v>
      </c>
      <c r="B40" s="105" t="s">
        <v>760</v>
      </c>
      <c r="C40" s="32" t="s">
        <v>189</v>
      </c>
      <c r="D40" s="33">
        <v>14600</v>
      </c>
      <c r="E40" s="33">
        <v>0</v>
      </c>
      <c r="F40" s="33">
        <v>0</v>
      </c>
      <c r="G40" s="33">
        <v>14600</v>
      </c>
      <c r="H40" s="33">
        <v>10900</v>
      </c>
      <c r="I40" s="33">
        <v>0</v>
      </c>
      <c r="J40" s="33">
        <v>0</v>
      </c>
      <c r="K40" s="133">
        <v>10900</v>
      </c>
      <c r="L40" s="147">
        <f t="shared" si="2"/>
        <v>0.74657534246575341</v>
      </c>
      <c r="M40" s="147">
        <f t="shared" si="3"/>
        <v>0.74657534246575341</v>
      </c>
      <c r="N40" s="3" t="str">
        <f>_xlfn.XLOOKUP(AE[[#This Row],[Code]], 'System Mapping'!$A:$A, 'System Mapping'!$D:$D, "Not Found")</f>
        <v>NHS West and North London Integrated Care Board</v>
      </c>
    </row>
    <row r="41" spans="1:14" x14ac:dyDescent="0.15">
      <c r="A41" s="131" t="s">
        <v>185</v>
      </c>
      <c r="B41" s="105" t="s">
        <v>760</v>
      </c>
      <c r="C41" s="32" t="s">
        <v>723</v>
      </c>
      <c r="D41" s="33">
        <v>9715</v>
      </c>
      <c r="E41" s="33">
        <v>0</v>
      </c>
      <c r="F41" s="33">
        <v>0</v>
      </c>
      <c r="G41" s="33">
        <v>9715</v>
      </c>
      <c r="H41" s="33">
        <v>7009</v>
      </c>
      <c r="I41" s="33">
        <v>0</v>
      </c>
      <c r="J41" s="33">
        <v>0</v>
      </c>
      <c r="K41" s="133">
        <v>7009</v>
      </c>
      <c r="L41" s="147">
        <f t="shared" si="2"/>
        <v>0.72146165723108591</v>
      </c>
      <c r="M41" s="147">
        <f t="shared" si="3"/>
        <v>0.72146165723108591</v>
      </c>
      <c r="N41" s="3" t="str">
        <f>_xlfn.XLOOKUP(AE[[#This Row],[Code]], 'System Mapping'!$A:$A, 'System Mapping'!$D:$D, "Not Found")</f>
        <v>NHS West and North London Integrated Care Board</v>
      </c>
    </row>
    <row r="42" spans="1:14" x14ac:dyDescent="0.15">
      <c r="A42" s="131" t="s">
        <v>295</v>
      </c>
      <c r="B42" s="105" t="s">
        <v>872</v>
      </c>
      <c r="C42" s="32" t="s">
        <v>724</v>
      </c>
      <c r="D42" s="33">
        <v>4840</v>
      </c>
      <c r="E42" s="33">
        <v>0</v>
      </c>
      <c r="F42" s="33">
        <v>897</v>
      </c>
      <c r="G42" s="33">
        <v>5737</v>
      </c>
      <c r="H42" s="33">
        <v>3592</v>
      </c>
      <c r="I42" s="33">
        <v>0</v>
      </c>
      <c r="J42" s="33">
        <v>897</v>
      </c>
      <c r="K42" s="133">
        <v>4489</v>
      </c>
      <c r="L42" s="147">
        <f t="shared" si="2"/>
        <v>0.78246470280634473</v>
      </c>
      <c r="M42" s="147">
        <f t="shared" si="3"/>
        <v>0.74214876033057853</v>
      </c>
      <c r="N42" s="3" t="str">
        <f>_xlfn.XLOOKUP(AE[[#This Row],[Code]], 'System Mapping'!$A:$A, 'System Mapping'!$D:$D, "Not Found")</f>
        <v>NHS Birmingham And Solihull Integrated Care Board</v>
      </c>
    </row>
    <row r="43" spans="1:14" x14ac:dyDescent="0.15">
      <c r="A43" s="131" t="s">
        <v>330</v>
      </c>
      <c r="B43" s="105" t="s">
        <v>872</v>
      </c>
      <c r="C43" s="32" t="s">
        <v>331</v>
      </c>
      <c r="D43" s="33">
        <v>6890</v>
      </c>
      <c r="E43" s="33">
        <v>0</v>
      </c>
      <c r="F43" s="33">
        <v>5220</v>
      </c>
      <c r="G43" s="33">
        <v>12110</v>
      </c>
      <c r="H43" s="33">
        <v>3540</v>
      </c>
      <c r="I43" s="33">
        <v>0</v>
      </c>
      <c r="J43" s="33">
        <v>5152</v>
      </c>
      <c r="K43" s="133">
        <v>8692</v>
      </c>
      <c r="L43" s="147">
        <f t="shared" si="2"/>
        <v>0.71775392237819979</v>
      </c>
      <c r="M43" s="147">
        <f t="shared" si="3"/>
        <v>0.51378809869375908</v>
      </c>
      <c r="N43" s="3" t="str">
        <f>_xlfn.XLOOKUP(AE[[#This Row],[Code]], 'System Mapping'!$A:$A, 'System Mapping'!$D:$D, "Not Found")</f>
        <v>NHS Derby And Derbyshire Integrated Care Board</v>
      </c>
    </row>
    <row r="44" spans="1:14" x14ac:dyDescent="0.15">
      <c r="A44" s="131" t="s">
        <v>307</v>
      </c>
      <c r="B44" s="105" t="s">
        <v>872</v>
      </c>
      <c r="C44" s="32" t="s">
        <v>863</v>
      </c>
      <c r="D44" s="33">
        <v>0</v>
      </c>
      <c r="E44" s="33">
        <v>0</v>
      </c>
      <c r="F44" s="33">
        <v>0</v>
      </c>
      <c r="G44" s="33">
        <v>0</v>
      </c>
      <c r="H44" s="33">
        <v>0</v>
      </c>
      <c r="I44" s="33">
        <v>0</v>
      </c>
      <c r="J44" s="33">
        <v>0</v>
      </c>
      <c r="K44" s="133">
        <v>0</v>
      </c>
      <c r="L44" s="147" t="str">
        <f t="shared" si="2"/>
        <v>Missing Data</v>
      </c>
      <c r="M44" s="147" t="str">
        <f t="shared" si="3"/>
        <v/>
      </c>
      <c r="N44" s="3" t="str">
        <f>_xlfn.XLOOKUP(AE[[#This Row],[Code]], 'System Mapping'!$A:$A, 'System Mapping'!$D:$D, "Not Found")</f>
        <v>NHS Coventry And Warwickshire Integrated Care Board</v>
      </c>
    </row>
    <row r="45" spans="1:14" x14ac:dyDescent="0.15">
      <c r="A45" s="131" t="s">
        <v>334</v>
      </c>
      <c r="B45" s="105" t="s">
        <v>872</v>
      </c>
      <c r="C45" s="32" t="s">
        <v>335</v>
      </c>
      <c r="D45" s="33">
        <v>0</v>
      </c>
      <c r="E45" s="33">
        <v>0</v>
      </c>
      <c r="F45" s="33">
        <v>8152</v>
      </c>
      <c r="G45" s="33">
        <v>8152</v>
      </c>
      <c r="H45" s="33">
        <v>0</v>
      </c>
      <c r="I45" s="33">
        <v>0</v>
      </c>
      <c r="J45" s="33">
        <v>7666</v>
      </c>
      <c r="K45" s="133">
        <v>7666</v>
      </c>
      <c r="L45" s="147">
        <f t="shared" si="2"/>
        <v>0.94038272816486757</v>
      </c>
      <c r="M45" s="147" t="str">
        <f t="shared" si="3"/>
        <v/>
      </c>
      <c r="N45" s="3" t="str">
        <f>_xlfn.XLOOKUP(AE[[#This Row],[Code]], 'System Mapping'!$A:$A, 'System Mapping'!$D:$D, "Not Found")</f>
        <v>NHS Derby And Derbyshire Integrated Care Board</v>
      </c>
    </row>
    <row r="46" spans="1:14" x14ac:dyDescent="0.15">
      <c r="A46" s="131" t="s">
        <v>337</v>
      </c>
      <c r="B46" s="105" t="s">
        <v>872</v>
      </c>
      <c r="C46" s="32" t="s">
        <v>815</v>
      </c>
      <c r="D46" s="33">
        <v>0</v>
      </c>
      <c r="E46" s="33">
        <v>0</v>
      </c>
      <c r="F46" s="33">
        <v>1908</v>
      </c>
      <c r="G46" s="33">
        <v>1908</v>
      </c>
      <c r="H46" s="33">
        <v>0</v>
      </c>
      <c r="I46" s="33">
        <v>0</v>
      </c>
      <c r="J46" s="33">
        <v>1907</v>
      </c>
      <c r="K46" s="133">
        <v>1907</v>
      </c>
      <c r="L46" s="147">
        <f t="shared" si="2"/>
        <v>0.99947589098532497</v>
      </c>
      <c r="M46" s="147" t="str">
        <f t="shared" si="3"/>
        <v/>
      </c>
      <c r="N46" s="3" t="str">
        <f>_xlfn.XLOOKUP(AE[[#This Row],[Code]], 'System Mapping'!$A:$A, 'System Mapping'!$D:$D, "Not Found")</f>
        <v>NHS Derby And Derbyshire Integrated Care Board</v>
      </c>
    </row>
    <row r="47" spans="1:14" x14ac:dyDescent="0.15">
      <c r="A47" s="131" t="s">
        <v>808</v>
      </c>
      <c r="B47" s="105" t="s">
        <v>872</v>
      </c>
      <c r="C47" s="32" t="s">
        <v>806</v>
      </c>
      <c r="D47" s="33">
        <v>0</v>
      </c>
      <c r="E47" s="33">
        <v>0</v>
      </c>
      <c r="F47" s="33">
        <v>317</v>
      </c>
      <c r="G47" s="33">
        <v>317</v>
      </c>
      <c r="H47" s="33">
        <v>0</v>
      </c>
      <c r="I47" s="33">
        <v>0</v>
      </c>
      <c r="J47" s="33">
        <v>317</v>
      </c>
      <c r="K47" s="133">
        <v>317</v>
      </c>
      <c r="L47" s="147">
        <f t="shared" si="2"/>
        <v>1</v>
      </c>
      <c r="M47" s="147" t="str">
        <f t="shared" si="3"/>
        <v/>
      </c>
      <c r="N47" s="3" t="str">
        <f>_xlfn.XLOOKUP(AE[[#This Row],[Code]], 'System Mapping'!$A:$A, 'System Mapping'!$D:$D, "Not Found")</f>
        <v>NHS Leicester, Leicestershire And Rutland Integrated Care Board</v>
      </c>
    </row>
    <row r="48" spans="1:14" x14ac:dyDescent="0.15">
      <c r="A48" s="131" t="s">
        <v>309</v>
      </c>
      <c r="B48" s="105" t="s">
        <v>872</v>
      </c>
      <c r="C48" s="32" t="s">
        <v>310</v>
      </c>
      <c r="D48" s="33">
        <v>7779</v>
      </c>
      <c r="E48" s="33">
        <v>0</v>
      </c>
      <c r="F48" s="33">
        <v>1653</v>
      </c>
      <c r="G48" s="33">
        <v>9432</v>
      </c>
      <c r="H48" s="33">
        <v>6527</v>
      </c>
      <c r="I48" s="33">
        <v>0</v>
      </c>
      <c r="J48" s="33">
        <v>1653</v>
      </c>
      <c r="K48" s="133">
        <v>8180</v>
      </c>
      <c r="L48" s="147">
        <f t="shared" si="2"/>
        <v>0.86726039016115353</v>
      </c>
      <c r="M48" s="147">
        <f t="shared" si="3"/>
        <v>0.83905386296439133</v>
      </c>
      <c r="N48" s="3" t="str">
        <f>_xlfn.XLOOKUP(AE[[#This Row],[Code]], 'System Mapping'!$A:$A, 'System Mapping'!$D:$D, "Not Found")</f>
        <v>NHS Coventry And Warwickshire Integrated Care Board</v>
      </c>
    </row>
    <row r="49" spans="1:14" x14ac:dyDescent="0.15">
      <c r="A49" s="131" t="s">
        <v>376</v>
      </c>
      <c r="B49" s="105" t="s">
        <v>872</v>
      </c>
      <c r="C49" s="32" t="s">
        <v>377</v>
      </c>
      <c r="D49" s="33">
        <v>11028</v>
      </c>
      <c r="E49" s="33">
        <v>0</v>
      </c>
      <c r="F49" s="33">
        <v>8976</v>
      </c>
      <c r="G49" s="33">
        <v>20004</v>
      </c>
      <c r="H49" s="33">
        <v>6689</v>
      </c>
      <c r="I49" s="33">
        <v>0</v>
      </c>
      <c r="J49" s="33">
        <v>8955</v>
      </c>
      <c r="K49" s="133">
        <v>15644</v>
      </c>
      <c r="L49" s="147">
        <f t="shared" si="2"/>
        <v>0.78204359128174361</v>
      </c>
      <c r="M49" s="147">
        <f t="shared" si="3"/>
        <v>0.6065469713456656</v>
      </c>
      <c r="N49" s="3" t="str">
        <f>_xlfn.XLOOKUP(AE[[#This Row],[Code]], 'System Mapping'!$A:$A, 'System Mapping'!$D:$D, "Not Found")</f>
        <v>NHS Northamptonshire Integrated Care Board</v>
      </c>
    </row>
    <row r="50" spans="1:14" x14ac:dyDescent="0.15">
      <c r="A50" s="131" t="s">
        <v>339</v>
      </c>
      <c r="B50" s="105" t="s">
        <v>872</v>
      </c>
      <c r="C50" s="32" t="s">
        <v>340</v>
      </c>
      <c r="D50" s="33">
        <v>0</v>
      </c>
      <c r="E50" s="33">
        <v>0</v>
      </c>
      <c r="F50" s="33">
        <v>384</v>
      </c>
      <c r="G50" s="33">
        <v>384</v>
      </c>
      <c r="H50" s="33">
        <v>0</v>
      </c>
      <c r="I50" s="33">
        <v>0</v>
      </c>
      <c r="J50" s="33">
        <v>384</v>
      </c>
      <c r="K50" s="133">
        <v>384</v>
      </c>
      <c r="L50" s="147">
        <f t="shared" si="2"/>
        <v>1</v>
      </c>
      <c r="M50" s="147" t="str">
        <f t="shared" si="3"/>
        <v/>
      </c>
      <c r="N50" s="3" t="str">
        <f>_xlfn.XLOOKUP(AE[[#This Row],[Code]], 'System Mapping'!$A:$A, 'System Mapping'!$D:$D, "Not Found")</f>
        <v>NHS Leicester, Leicestershire And Rutland Integrated Care Board</v>
      </c>
    </row>
    <row r="51" spans="1:14" x14ac:dyDescent="0.15">
      <c r="A51" s="131" t="s">
        <v>358</v>
      </c>
      <c r="B51" s="105" t="s">
        <v>872</v>
      </c>
      <c r="C51" s="32" t="s">
        <v>359</v>
      </c>
      <c r="D51" s="33">
        <v>0</v>
      </c>
      <c r="E51" s="33">
        <v>0</v>
      </c>
      <c r="F51" s="33">
        <v>9745</v>
      </c>
      <c r="G51" s="33">
        <v>9745</v>
      </c>
      <c r="H51" s="33">
        <v>0</v>
      </c>
      <c r="I51" s="33">
        <v>0</v>
      </c>
      <c r="J51" s="33">
        <v>9507</v>
      </c>
      <c r="K51" s="133">
        <v>9507</v>
      </c>
      <c r="L51" s="147">
        <f t="shared" si="2"/>
        <v>0.97557721908671113</v>
      </c>
      <c r="M51" s="147" t="str">
        <f t="shared" si="3"/>
        <v/>
      </c>
      <c r="N51" s="3" t="str">
        <f>_xlfn.XLOOKUP(AE[[#This Row],[Code]], 'System Mapping'!$A:$A, 'System Mapping'!$D:$D, "Not Found")</f>
        <v>NHS Lincolnshire Integrated Care Board</v>
      </c>
    </row>
    <row r="52" spans="1:14" x14ac:dyDescent="0.15">
      <c r="A52" s="131" t="s">
        <v>336</v>
      </c>
      <c r="B52" s="105" t="s">
        <v>872</v>
      </c>
      <c r="C52" s="32" t="s">
        <v>816</v>
      </c>
      <c r="D52" s="33">
        <v>0</v>
      </c>
      <c r="E52" s="33">
        <v>0</v>
      </c>
      <c r="F52" s="33">
        <v>2676</v>
      </c>
      <c r="G52" s="33">
        <v>2676</v>
      </c>
      <c r="H52" s="33">
        <v>0</v>
      </c>
      <c r="I52" s="33">
        <v>0</v>
      </c>
      <c r="J52" s="33">
        <v>2676</v>
      </c>
      <c r="K52" s="133">
        <v>2676</v>
      </c>
      <c r="L52" s="147">
        <f t="shared" si="2"/>
        <v>1</v>
      </c>
      <c r="M52" s="147" t="str">
        <f t="shared" si="3"/>
        <v/>
      </c>
      <c r="N52" s="3" t="str">
        <f>_xlfn.XLOOKUP(AE[[#This Row],[Code]], 'System Mapping'!$A:$A, 'System Mapping'!$D:$D, "Not Found")</f>
        <v>NHS Leicester, Leicestershire And Rutland Integrated Care Board</v>
      </c>
    </row>
    <row r="53" spans="1:14" x14ac:dyDescent="0.15">
      <c r="A53" s="131" t="s">
        <v>341</v>
      </c>
      <c r="B53" s="105" t="s">
        <v>872</v>
      </c>
      <c r="C53" s="32" t="s">
        <v>342</v>
      </c>
      <c r="D53" s="33">
        <v>0</v>
      </c>
      <c r="E53" s="33">
        <v>0</v>
      </c>
      <c r="F53" s="33">
        <v>7847</v>
      </c>
      <c r="G53" s="33">
        <v>7847</v>
      </c>
      <c r="H53" s="33">
        <v>0</v>
      </c>
      <c r="I53" s="33">
        <v>0</v>
      </c>
      <c r="J53" s="33">
        <v>7795</v>
      </c>
      <c r="K53" s="133">
        <v>7795</v>
      </c>
      <c r="L53" s="147">
        <f t="shared" si="2"/>
        <v>0.99337326366764367</v>
      </c>
      <c r="M53" s="147" t="str">
        <f t="shared" si="3"/>
        <v/>
      </c>
      <c r="N53" s="3" t="str">
        <f>_xlfn.XLOOKUP(AE[[#This Row],[Code]], 'System Mapping'!$A:$A, 'System Mapping'!$D:$D, "Not Found")</f>
        <v>NHS Leicester, Leicestershire And Rutland Integrated Care Board</v>
      </c>
    </row>
    <row r="54" spans="1:14" x14ac:dyDescent="0.15">
      <c r="A54" s="131" t="s">
        <v>805</v>
      </c>
      <c r="B54" s="105" t="s">
        <v>872</v>
      </c>
      <c r="C54" s="32" t="s">
        <v>807</v>
      </c>
      <c r="D54" s="33">
        <v>0</v>
      </c>
      <c r="E54" s="33">
        <v>0</v>
      </c>
      <c r="F54" s="33">
        <v>139</v>
      </c>
      <c r="G54" s="33">
        <v>139</v>
      </c>
      <c r="H54" s="33">
        <v>0</v>
      </c>
      <c r="I54" s="33">
        <v>0</v>
      </c>
      <c r="J54" s="33">
        <v>139</v>
      </c>
      <c r="K54" s="133">
        <v>139</v>
      </c>
      <c r="L54" s="147">
        <f t="shared" si="2"/>
        <v>1</v>
      </c>
      <c r="M54" s="147" t="str">
        <f t="shared" si="3"/>
        <v/>
      </c>
      <c r="N54" s="3" t="str">
        <f>_xlfn.XLOOKUP(AE[[#This Row],[Code]], 'System Mapping'!$A:$A, 'System Mapping'!$D:$D, "Not Found")</f>
        <v>NHS Leicester, Leicestershire And Rutland Integrated Care Board</v>
      </c>
    </row>
    <row r="55" spans="1:14" x14ac:dyDescent="0.15">
      <c r="A55" s="131" t="s">
        <v>345</v>
      </c>
      <c r="B55" s="105" t="s">
        <v>872</v>
      </c>
      <c r="C55" s="32" t="s">
        <v>817</v>
      </c>
      <c r="D55" s="33">
        <v>0</v>
      </c>
      <c r="E55" s="33">
        <v>0</v>
      </c>
      <c r="F55" s="33">
        <v>298</v>
      </c>
      <c r="G55" s="33">
        <v>298</v>
      </c>
      <c r="H55" s="33">
        <v>0</v>
      </c>
      <c r="I55" s="33">
        <v>0</v>
      </c>
      <c r="J55" s="33">
        <v>298</v>
      </c>
      <c r="K55" s="133">
        <v>298</v>
      </c>
      <c r="L55" s="147">
        <f t="shared" si="2"/>
        <v>1</v>
      </c>
      <c r="M55" s="147" t="str">
        <f t="shared" si="3"/>
        <v/>
      </c>
      <c r="N55" s="3" t="str">
        <f>_xlfn.XLOOKUP(AE[[#This Row],[Code]], 'System Mapping'!$A:$A, 'System Mapping'!$D:$D, "Not Found")</f>
        <v>NHS Leicester, Leicestershire And Rutland Integrated Care Board</v>
      </c>
    </row>
    <row r="56" spans="1:14" x14ac:dyDescent="0.15">
      <c r="A56" s="131" t="s">
        <v>343</v>
      </c>
      <c r="B56" s="105" t="s">
        <v>872</v>
      </c>
      <c r="C56" s="32" t="s">
        <v>344</v>
      </c>
      <c r="D56" s="33">
        <v>0</v>
      </c>
      <c r="E56" s="33">
        <v>0</v>
      </c>
      <c r="F56" s="33">
        <v>323</v>
      </c>
      <c r="G56" s="33">
        <v>323</v>
      </c>
      <c r="H56" s="33">
        <v>0</v>
      </c>
      <c r="I56" s="33">
        <v>0</v>
      </c>
      <c r="J56" s="33">
        <v>323</v>
      </c>
      <c r="K56" s="133">
        <v>323</v>
      </c>
      <c r="L56" s="147">
        <f t="shared" si="2"/>
        <v>1</v>
      </c>
      <c r="M56" s="147" t="str">
        <f t="shared" si="3"/>
        <v/>
      </c>
      <c r="N56" s="3" t="str">
        <f>_xlfn.XLOOKUP(AE[[#This Row],[Code]], 'System Mapping'!$A:$A, 'System Mapping'!$D:$D, "Not Found")</f>
        <v>NHS Leicester, Leicestershire And Rutland Integrated Care Board</v>
      </c>
    </row>
    <row r="57" spans="1:14" x14ac:dyDescent="0.15">
      <c r="A57" s="131" t="s">
        <v>347</v>
      </c>
      <c r="B57" s="105" t="s">
        <v>872</v>
      </c>
      <c r="C57" s="32" t="s">
        <v>818</v>
      </c>
      <c r="D57" s="33">
        <v>0</v>
      </c>
      <c r="E57" s="33">
        <v>0</v>
      </c>
      <c r="F57" s="33">
        <v>408</v>
      </c>
      <c r="G57" s="33">
        <v>408</v>
      </c>
      <c r="H57" s="33">
        <v>0</v>
      </c>
      <c r="I57" s="33">
        <v>0</v>
      </c>
      <c r="J57" s="33">
        <v>408</v>
      </c>
      <c r="K57" s="133">
        <v>408</v>
      </c>
      <c r="L57" s="147">
        <f t="shared" si="2"/>
        <v>1</v>
      </c>
      <c r="M57" s="147" t="str">
        <f t="shared" si="3"/>
        <v/>
      </c>
      <c r="N57" s="3" t="str">
        <f>_xlfn.XLOOKUP(AE[[#This Row],[Code]], 'System Mapping'!$A:$A, 'System Mapping'!$D:$D, "Not Found")</f>
        <v>NHS Leicester, Leicestershire And Rutland Integrated Care Board</v>
      </c>
    </row>
    <row r="58" spans="1:14" x14ac:dyDescent="0.15">
      <c r="A58" s="131" t="s">
        <v>378</v>
      </c>
      <c r="B58" s="105" t="s">
        <v>872</v>
      </c>
      <c r="C58" s="32" t="s">
        <v>379</v>
      </c>
      <c r="D58" s="33">
        <v>9611</v>
      </c>
      <c r="E58" s="33">
        <v>654</v>
      </c>
      <c r="F58" s="33">
        <v>3988</v>
      </c>
      <c r="G58" s="33">
        <v>14253</v>
      </c>
      <c r="H58" s="33">
        <v>5348</v>
      </c>
      <c r="I58" s="33">
        <v>629</v>
      </c>
      <c r="J58" s="33">
        <v>3908</v>
      </c>
      <c r="K58" s="133">
        <v>9885</v>
      </c>
      <c r="L58" s="147">
        <f t="shared" si="2"/>
        <v>0.69353820248368769</v>
      </c>
      <c r="M58" s="147">
        <f t="shared" si="3"/>
        <v>0.55644573925710128</v>
      </c>
      <c r="N58" s="3" t="str">
        <f>_xlfn.XLOOKUP(AE[[#This Row],[Code]], 'System Mapping'!$A:$A, 'System Mapping'!$D:$D, "Not Found")</f>
        <v>NHS Northamptonshire Integrated Care Board</v>
      </c>
    </row>
    <row r="59" spans="1:14" x14ac:dyDescent="0.15">
      <c r="A59" s="131" t="s">
        <v>384</v>
      </c>
      <c r="B59" s="105" t="s">
        <v>872</v>
      </c>
      <c r="C59" s="32" t="s">
        <v>385</v>
      </c>
      <c r="D59" s="33">
        <v>13656</v>
      </c>
      <c r="E59" s="33">
        <v>2016</v>
      </c>
      <c r="F59" s="33">
        <v>12127</v>
      </c>
      <c r="G59" s="33">
        <v>27799</v>
      </c>
      <c r="H59" s="33">
        <v>6086</v>
      </c>
      <c r="I59" s="33">
        <v>1933</v>
      </c>
      <c r="J59" s="33">
        <v>10392</v>
      </c>
      <c r="K59" s="133">
        <v>18411</v>
      </c>
      <c r="L59" s="147">
        <f t="shared" si="2"/>
        <v>0.66229001043202995</v>
      </c>
      <c r="M59" s="147">
        <f t="shared" si="3"/>
        <v>0.44566490919742235</v>
      </c>
      <c r="N59" s="3" t="str">
        <f>_xlfn.XLOOKUP(AE[[#This Row],[Code]], 'System Mapping'!$A:$A, 'System Mapping'!$D:$D, "Not Found")</f>
        <v>NHS Nottingham And Nottinghamshire Integrated Care Board</v>
      </c>
    </row>
    <row r="60" spans="1:14" x14ac:dyDescent="0.15">
      <c r="A60" s="131" t="s">
        <v>349</v>
      </c>
      <c r="B60" s="105" t="s">
        <v>872</v>
      </c>
      <c r="C60" s="32" t="s">
        <v>819</v>
      </c>
      <c r="D60" s="33">
        <v>0</v>
      </c>
      <c r="E60" s="33">
        <v>0</v>
      </c>
      <c r="F60" s="33">
        <v>3835</v>
      </c>
      <c r="G60" s="33">
        <v>3835</v>
      </c>
      <c r="H60" s="33">
        <v>0</v>
      </c>
      <c r="I60" s="33">
        <v>0</v>
      </c>
      <c r="J60" s="33">
        <v>3834</v>
      </c>
      <c r="K60" s="133">
        <v>3834</v>
      </c>
      <c r="L60" s="147">
        <f t="shared" si="2"/>
        <v>0.99973924380704038</v>
      </c>
      <c r="M60" s="147" t="str">
        <f t="shared" si="3"/>
        <v/>
      </c>
      <c r="N60" s="3" t="str">
        <f>_xlfn.XLOOKUP(AE[[#This Row],[Code]], 'System Mapping'!$A:$A, 'System Mapping'!$D:$D, "Not Found")</f>
        <v>NHS Leicester, Leicestershire And Rutland Integrated Care Board</v>
      </c>
    </row>
    <row r="61" spans="1:14" x14ac:dyDescent="0.15">
      <c r="A61" s="131" t="s">
        <v>353</v>
      </c>
      <c r="B61" s="105" t="s">
        <v>872</v>
      </c>
      <c r="C61" s="32" t="s">
        <v>856</v>
      </c>
      <c r="D61" s="33">
        <v>0</v>
      </c>
      <c r="E61" s="33">
        <v>0</v>
      </c>
      <c r="F61" s="33">
        <v>623</v>
      </c>
      <c r="G61" s="33">
        <v>623</v>
      </c>
      <c r="H61" s="33">
        <v>0</v>
      </c>
      <c r="I61" s="33">
        <v>0</v>
      </c>
      <c r="J61" s="33">
        <v>623</v>
      </c>
      <c r="K61" s="133">
        <v>623</v>
      </c>
      <c r="L61" s="147">
        <f t="shared" si="2"/>
        <v>1</v>
      </c>
      <c r="M61" s="147" t="str">
        <f t="shared" si="3"/>
        <v/>
      </c>
      <c r="N61" s="3" t="str">
        <f>_xlfn.XLOOKUP(AE[[#This Row],[Code]], 'System Mapping'!$A:$A, 'System Mapping'!$D:$D, "Not Found")</f>
        <v>NHS Leicester, Leicestershire And Rutland Integrated Care Board</v>
      </c>
    </row>
    <row r="62" spans="1:14" x14ac:dyDescent="0.15">
      <c r="A62" s="131" t="s">
        <v>404</v>
      </c>
      <c r="B62" s="105" t="s">
        <v>872</v>
      </c>
      <c r="C62" s="32" t="s">
        <v>725</v>
      </c>
      <c r="D62" s="33">
        <v>12136</v>
      </c>
      <c r="E62" s="33">
        <v>1281</v>
      </c>
      <c r="F62" s="33">
        <v>8369</v>
      </c>
      <c r="G62" s="33">
        <v>21786</v>
      </c>
      <c r="H62" s="33">
        <v>6916</v>
      </c>
      <c r="I62" s="33">
        <v>1024</v>
      </c>
      <c r="J62" s="33">
        <v>8284</v>
      </c>
      <c r="K62" s="133">
        <v>16224</v>
      </c>
      <c r="L62" s="147">
        <f t="shared" si="2"/>
        <v>0.7446984301845222</v>
      </c>
      <c r="M62" s="147">
        <f t="shared" si="3"/>
        <v>0.56987475280158206</v>
      </c>
      <c r="N62" s="3" t="str">
        <f>_xlfn.XLOOKUP(AE[[#This Row],[Code]], 'System Mapping'!$A:$A, 'System Mapping'!$D:$D, "Not Found")</f>
        <v>NHS Black Country Integrated Care Board</v>
      </c>
    </row>
    <row r="63" spans="1:14" x14ac:dyDescent="0.15">
      <c r="A63" s="131" t="s">
        <v>386</v>
      </c>
      <c r="B63" s="105" t="s">
        <v>872</v>
      </c>
      <c r="C63" s="32" t="s">
        <v>387</v>
      </c>
      <c r="D63" s="33">
        <v>11265</v>
      </c>
      <c r="E63" s="33">
        <v>0</v>
      </c>
      <c r="F63" s="33">
        <v>5917</v>
      </c>
      <c r="G63" s="33">
        <v>17182</v>
      </c>
      <c r="H63" s="33">
        <v>7732</v>
      </c>
      <c r="I63" s="33">
        <v>0</v>
      </c>
      <c r="J63" s="33">
        <v>5047</v>
      </c>
      <c r="K63" s="133">
        <v>12779</v>
      </c>
      <c r="L63" s="147">
        <f t="shared" si="2"/>
        <v>0.74374345245023865</v>
      </c>
      <c r="M63" s="147">
        <f t="shared" si="3"/>
        <v>0.68637372392365736</v>
      </c>
      <c r="N63" s="3" t="str">
        <f>_xlfn.XLOOKUP(AE[[#This Row],[Code]], 'System Mapping'!$A:$A, 'System Mapping'!$D:$D, "Not Found")</f>
        <v>NHS Nottingham And Nottinghamshire Integrated Care Board</v>
      </c>
    </row>
    <row r="64" spans="1:14" x14ac:dyDescent="0.15">
      <c r="A64" s="131" t="s">
        <v>390</v>
      </c>
      <c r="B64" s="105" t="s">
        <v>872</v>
      </c>
      <c r="C64" s="32" t="s">
        <v>391</v>
      </c>
      <c r="D64" s="33">
        <v>0</v>
      </c>
      <c r="E64" s="33">
        <v>0</v>
      </c>
      <c r="F64" s="33">
        <v>3616</v>
      </c>
      <c r="G64" s="33">
        <v>3616</v>
      </c>
      <c r="H64" s="33">
        <v>0</v>
      </c>
      <c r="I64" s="33">
        <v>0</v>
      </c>
      <c r="J64" s="33">
        <v>3601</v>
      </c>
      <c r="K64" s="133">
        <v>3601</v>
      </c>
      <c r="L64" s="147">
        <f t="shared" si="2"/>
        <v>0.99585176991150437</v>
      </c>
      <c r="M64" s="147" t="str">
        <f t="shared" si="3"/>
        <v/>
      </c>
      <c r="N64" s="3" t="str">
        <f>_xlfn.XLOOKUP(AE[[#This Row],[Code]], 'System Mapping'!$A:$A, 'System Mapping'!$D:$D, "Not Found")</f>
        <v>NHS Shropshire, Telford And Wrekin Integrated Care Board</v>
      </c>
    </row>
    <row r="65" spans="1:14" x14ac:dyDescent="0.15">
      <c r="A65" s="131" t="s">
        <v>360</v>
      </c>
      <c r="B65" s="105" t="s">
        <v>872</v>
      </c>
      <c r="C65" s="32" t="s">
        <v>361</v>
      </c>
      <c r="D65" s="33">
        <v>0</v>
      </c>
      <c r="E65" s="33">
        <v>0</v>
      </c>
      <c r="F65" s="33">
        <v>462</v>
      </c>
      <c r="G65" s="33">
        <v>462</v>
      </c>
      <c r="H65" s="33">
        <v>0</v>
      </c>
      <c r="I65" s="33">
        <v>0</v>
      </c>
      <c r="J65" s="33">
        <v>462</v>
      </c>
      <c r="K65" s="133">
        <v>462</v>
      </c>
      <c r="L65" s="147">
        <f t="shared" si="2"/>
        <v>1</v>
      </c>
      <c r="M65" s="147" t="str">
        <f t="shared" si="3"/>
        <v/>
      </c>
      <c r="N65" s="3" t="str">
        <f>_xlfn.XLOOKUP(AE[[#This Row],[Code]], 'System Mapping'!$A:$A, 'System Mapping'!$D:$D, "Not Found")</f>
        <v>NHS Lincolnshire Integrated Care Board</v>
      </c>
    </row>
    <row r="66" spans="1:14" x14ac:dyDescent="0.15">
      <c r="A66" s="131" t="s">
        <v>313</v>
      </c>
      <c r="B66" s="105" t="s">
        <v>872</v>
      </c>
      <c r="C66" s="32" t="s">
        <v>314</v>
      </c>
      <c r="D66" s="33">
        <v>8510</v>
      </c>
      <c r="E66" s="33">
        <v>0</v>
      </c>
      <c r="F66" s="33">
        <v>543</v>
      </c>
      <c r="G66" s="33">
        <v>9053</v>
      </c>
      <c r="H66" s="33">
        <v>5738</v>
      </c>
      <c r="I66" s="33">
        <v>0</v>
      </c>
      <c r="J66" s="33">
        <v>543</v>
      </c>
      <c r="K66" s="133">
        <v>6281</v>
      </c>
      <c r="L66" s="147">
        <f t="shared" ref="L66:L97" si="4">IFERROR(K66/G66, "Missing Data")</f>
        <v>0.69380315917375457</v>
      </c>
      <c r="M66" s="147">
        <f t="shared" ref="M66:M97" si="5">IFERROR(IF(D66=0,"",H66/D66), "Missing Data")</f>
        <v>0.67426556991774378</v>
      </c>
      <c r="N66" s="3" t="str">
        <f>_xlfn.XLOOKUP(AE[[#This Row],[Code]], 'System Mapping'!$A:$A, 'System Mapping'!$D:$D, "Not Found")</f>
        <v>NHS Coventry And Warwickshire Integrated Care Board</v>
      </c>
    </row>
    <row r="67" spans="1:14" x14ac:dyDescent="0.15">
      <c r="A67" s="131" t="s">
        <v>405</v>
      </c>
      <c r="B67" s="105" t="s">
        <v>872</v>
      </c>
      <c r="C67" s="32" t="s">
        <v>406</v>
      </c>
      <c r="D67" s="33">
        <v>10834</v>
      </c>
      <c r="E67" s="33">
        <v>0</v>
      </c>
      <c r="F67" s="33">
        <v>4331</v>
      </c>
      <c r="G67" s="33">
        <v>15165</v>
      </c>
      <c r="H67" s="33">
        <v>7938</v>
      </c>
      <c r="I67" s="33">
        <v>0</v>
      </c>
      <c r="J67" s="33">
        <v>4239</v>
      </c>
      <c r="K67" s="133">
        <v>12177</v>
      </c>
      <c r="L67" s="147">
        <f t="shared" si="4"/>
        <v>0.80296735905044514</v>
      </c>
      <c r="M67" s="147">
        <f t="shared" si="5"/>
        <v>0.73269337271552515</v>
      </c>
      <c r="N67" s="3" t="str">
        <f>_xlfn.XLOOKUP(AE[[#This Row],[Code]], 'System Mapping'!$A:$A, 'System Mapping'!$D:$D, "Not Found")</f>
        <v>NHS Black Country Integrated Care Board</v>
      </c>
    </row>
    <row r="68" spans="1:14" x14ac:dyDescent="0.15">
      <c r="A68" s="131" t="s">
        <v>392</v>
      </c>
      <c r="B68" s="105" t="s">
        <v>872</v>
      </c>
      <c r="C68" s="32" t="s">
        <v>821</v>
      </c>
      <c r="D68" s="33">
        <v>0</v>
      </c>
      <c r="E68" s="33">
        <v>0</v>
      </c>
      <c r="F68" s="33">
        <v>0</v>
      </c>
      <c r="G68" s="33">
        <v>0</v>
      </c>
      <c r="H68" s="33">
        <v>0</v>
      </c>
      <c r="I68" s="33">
        <v>0</v>
      </c>
      <c r="J68" s="33">
        <v>0</v>
      </c>
      <c r="K68" s="133">
        <v>0</v>
      </c>
      <c r="L68" s="147" t="str">
        <f t="shared" si="4"/>
        <v>Missing Data</v>
      </c>
      <c r="M68" s="147" t="str">
        <f t="shared" si="5"/>
        <v/>
      </c>
      <c r="N68" s="3" t="str">
        <f>_xlfn.XLOOKUP(AE[[#This Row],[Code]], 'System Mapping'!$A:$A, 'System Mapping'!$D:$D, "Not Found")</f>
        <v>NHS Shropshire, Telford And Wrekin Integrated Care Board</v>
      </c>
    </row>
    <row r="69" spans="1:14" x14ac:dyDescent="0.15">
      <c r="A69" s="131" t="s">
        <v>407</v>
      </c>
      <c r="B69" s="105" t="s">
        <v>872</v>
      </c>
      <c r="C69" s="32" t="s">
        <v>408</v>
      </c>
      <c r="D69" s="33">
        <v>11706</v>
      </c>
      <c r="E69" s="33">
        <v>1633</v>
      </c>
      <c r="F69" s="33">
        <v>7582</v>
      </c>
      <c r="G69" s="33">
        <v>20921</v>
      </c>
      <c r="H69" s="33">
        <v>7762</v>
      </c>
      <c r="I69" s="33">
        <v>1588</v>
      </c>
      <c r="J69" s="33">
        <v>7384</v>
      </c>
      <c r="K69" s="133">
        <v>16734</v>
      </c>
      <c r="L69" s="147">
        <f t="shared" si="4"/>
        <v>0.79986616318531623</v>
      </c>
      <c r="M69" s="147">
        <f t="shared" si="5"/>
        <v>0.66307876302750723</v>
      </c>
      <c r="N69" s="3" t="str">
        <f>_xlfn.XLOOKUP(AE[[#This Row],[Code]], 'System Mapping'!$A:$A, 'System Mapping'!$D:$D, "Not Found")</f>
        <v>NHS Black Country Integrated Care Board</v>
      </c>
    </row>
    <row r="70" spans="1:14" x14ac:dyDescent="0.15">
      <c r="A70" s="131" t="s">
        <v>388</v>
      </c>
      <c r="B70" s="105" t="s">
        <v>872</v>
      </c>
      <c r="C70" s="32" t="s">
        <v>389</v>
      </c>
      <c r="D70" s="33">
        <v>11747</v>
      </c>
      <c r="E70" s="33">
        <v>0</v>
      </c>
      <c r="F70" s="33">
        <v>2588</v>
      </c>
      <c r="G70" s="33">
        <v>14335</v>
      </c>
      <c r="H70" s="33">
        <v>5069</v>
      </c>
      <c r="I70" s="33">
        <v>0</v>
      </c>
      <c r="J70" s="33">
        <v>2242</v>
      </c>
      <c r="K70" s="133">
        <v>7311</v>
      </c>
      <c r="L70" s="147">
        <f t="shared" si="4"/>
        <v>0.51001046389954652</v>
      </c>
      <c r="M70" s="147">
        <f t="shared" si="5"/>
        <v>0.43151442921597005</v>
      </c>
      <c r="N70" s="3" t="str">
        <f>_xlfn.XLOOKUP(AE[[#This Row],[Code]], 'System Mapping'!$A:$A, 'System Mapping'!$D:$D, "Not Found")</f>
        <v>NHS Shropshire, Telford And Wrekin Integrated Care Board</v>
      </c>
    </row>
    <row r="71" spans="1:14" x14ac:dyDescent="0.15">
      <c r="A71" s="131" t="s">
        <v>362</v>
      </c>
      <c r="B71" s="105" t="s">
        <v>872</v>
      </c>
      <c r="C71" s="32" t="s">
        <v>363</v>
      </c>
      <c r="D71" s="33">
        <v>17584</v>
      </c>
      <c r="E71" s="33">
        <v>0</v>
      </c>
      <c r="F71" s="33">
        <v>4440</v>
      </c>
      <c r="G71" s="33">
        <v>22024</v>
      </c>
      <c r="H71" s="33">
        <v>11191</v>
      </c>
      <c r="I71" s="33">
        <v>0</v>
      </c>
      <c r="J71" s="33">
        <v>3955</v>
      </c>
      <c r="K71" s="133">
        <v>15146</v>
      </c>
      <c r="L71" s="147">
        <f t="shared" si="4"/>
        <v>0.68770432255721037</v>
      </c>
      <c r="M71" s="147">
        <f t="shared" si="5"/>
        <v>0.63643084622383983</v>
      </c>
      <c r="N71" s="3" t="str">
        <f>_xlfn.XLOOKUP(AE[[#This Row],[Code]], 'System Mapping'!$A:$A, 'System Mapping'!$D:$D, "Not Found")</f>
        <v>NHS Lincolnshire Integrated Care Board</v>
      </c>
    </row>
    <row r="72" spans="1:14" x14ac:dyDescent="0.15">
      <c r="A72" s="131" t="s">
        <v>300</v>
      </c>
      <c r="B72" s="105" t="s">
        <v>872</v>
      </c>
      <c r="C72" s="32" t="s">
        <v>301</v>
      </c>
      <c r="D72" s="33">
        <v>34437</v>
      </c>
      <c r="E72" s="33">
        <v>407</v>
      </c>
      <c r="F72" s="33">
        <v>12659</v>
      </c>
      <c r="G72" s="33">
        <v>47503</v>
      </c>
      <c r="H72" s="33">
        <v>19748</v>
      </c>
      <c r="I72" s="33">
        <v>407</v>
      </c>
      <c r="J72" s="33">
        <v>12600</v>
      </c>
      <c r="K72" s="133">
        <v>32755</v>
      </c>
      <c r="L72" s="147">
        <f t="shared" si="4"/>
        <v>0.68953539776435169</v>
      </c>
      <c r="M72" s="147">
        <f t="shared" si="5"/>
        <v>0.57345297209396873</v>
      </c>
      <c r="N72" s="3" t="str">
        <f>_xlfn.XLOOKUP(AE[[#This Row],[Code]], 'System Mapping'!$A:$A, 'System Mapping'!$D:$D, "Not Found")</f>
        <v>NHS Birmingham And Solihull Integrated Care Board</v>
      </c>
    </row>
    <row r="73" spans="1:14" x14ac:dyDescent="0.15">
      <c r="A73" s="131" t="s">
        <v>315</v>
      </c>
      <c r="B73" s="105" t="s">
        <v>872</v>
      </c>
      <c r="C73" s="32" t="s">
        <v>726</v>
      </c>
      <c r="D73" s="33">
        <v>13154</v>
      </c>
      <c r="E73" s="33">
        <v>2778</v>
      </c>
      <c r="F73" s="33">
        <v>5874</v>
      </c>
      <c r="G73" s="33">
        <v>21806</v>
      </c>
      <c r="H73" s="33">
        <v>7987</v>
      </c>
      <c r="I73" s="33">
        <v>2691</v>
      </c>
      <c r="J73" s="33">
        <v>5751</v>
      </c>
      <c r="K73" s="133">
        <v>16429</v>
      </c>
      <c r="L73" s="147">
        <f t="shared" si="4"/>
        <v>0.75341649087407137</v>
      </c>
      <c r="M73" s="147">
        <f t="shared" si="5"/>
        <v>0.60719172875171046</v>
      </c>
      <c r="N73" s="3" t="str">
        <f>_xlfn.XLOOKUP(AE[[#This Row],[Code]], 'System Mapping'!$A:$A, 'System Mapping'!$D:$D, "Not Found")</f>
        <v>NHS Coventry And Warwickshire Integrated Care Board</v>
      </c>
    </row>
    <row r="74" spans="1:14" x14ac:dyDescent="0.15">
      <c r="A74" s="131" t="s">
        <v>332</v>
      </c>
      <c r="B74" s="105" t="s">
        <v>872</v>
      </c>
      <c r="C74" s="32" t="s">
        <v>333</v>
      </c>
      <c r="D74" s="33">
        <v>22823</v>
      </c>
      <c r="E74" s="33">
        <v>0</v>
      </c>
      <c r="F74" s="33">
        <v>9614</v>
      </c>
      <c r="G74" s="33">
        <v>32437</v>
      </c>
      <c r="H74" s="33">
        <v>12301</v>
      </c>
      <c r="I74" s="33">
        <v>0</v>
      </c>
      <c r="J74" s="33">
        <v>9603</v>
      </c>
      <c r="K74" s="133">
        <v>21904</v>
      </c>
      <c r="L74" s="147">
        <f t="shared" si="4"/>
        <v>0.67527823164904277</v>
      </c>
      <c r="M74" s="147">
        <f t="shared" si="5"/>
        <v>0.53897384217675148</v>
      </c>
      <c r="N74" s="3" t="str">
        <f>_xlfn.XLOOKUP(AE[[#This Row],[Code]], 'System Mapping'!$A:$A, 'System Mapping'!$D:$D, "Not Found")</f>
        <v>NHS Derby And Derbyshire Integrated Care Board</v>
      </c>
    </row>
    <row r="75" spans="1:14" x14ac:dyDescent="0.15">
      <c r="A75" s="131" t="s">
        <v>357</v>
      </c>
      <c r="B75" s="105" t="s">
        <v>872</v>
      </c>
      <c r="C75" s="32" t="s">
        <v>727</v>
      </c>
      <c r="D75" s="33">
        <v>24152</v>
      </c>
      <c r="E75" s="33">
        <v>2198</v>
      </c>
      <c r="F75" s="33">
        <v>0</v>
      </c>
      <c r="G75" s="33">
        <v>26350</v>
      </c>
      <c r="H75" s="33">
        <v>14347</v>
      </c>
      <c r="I75" s="33">
        <v>2012</v>
      </c>
      <c r="J75" s="33">
        <v>0</v>
      </c>
      <c r="K75" s="133">
        <v>16359</v>
      </c>
      <c r="L75" s="147">
        <f t="shared" si="4"/>
        <v>0.62083491461100571</v>
      </c>
      <c r="M75" s="147">
        <f t="shared" si="5"/>
        <v>0.59402947996025179</v>
      </c>
      <c r="N75" s="3" t="str">
        <f>_xlfn.XLOOKUP(AE[[#This Row],[Code]], 'System Mapping'!$A:$A, 'System Mapping'!$D:$D, "Not Found")</f>
        <v>NHS Leicester, Leicestershire And Rutland Integrated Care Board</v>
      </c>
    </row>
    <row r="76" spans="1:14" x14ac:dyDescent="0.15">
      <c r="A76" s="131" t="s">
        <v>393</v>
      </c>
      <c r="B76" s="105" t="s">
        <v>872</v>
      </c>
      <c r="C76" s="32" t="s">
        <v>728</v>
      </c>
      <c r="D76" s="33">
        <v>15769</v>
      </c>
      <c r="E76" s="33">
        <v>540</v>
      </c>
      <c r="F76" s="33">
        <v>9723</v>
      </c>
      <c r="G76" s="33">
        <v>26032</v>
      </c>
      <c r="H76" s="33">
        <v>7131</v>
      </c>
      <c r="I76" s="33">
        <v>540</v>
      </c>
      <c r="J76" s="33">
        <v>9520</v>
      </c>
      <c r="K76" s="133">
        <v>17191</v>
      </c>
      <c r="L76" s="147">
        <f t="shared" si="4"/>
        <v>0.66037953288260598</v>
      </c>
      <c r="M76" s="147">
        <f t="shared" si="5"/>
        <v>0.45221637389815461</v>
      </c>
      <c r="N76" s="3" t="str">
        <f>_xlfn.XLOOKUP(AE[[#This Row],[Code]], 'System Mapping'!$A:$A, 'System Mapping'!$D:$D, "Not Found")</f>
        <v>NHS Staffordshire And Stoke-On-Trent Integrated Care Board</v>
      </c>
    </row>
    <row r="77" spans="1:14" x14ac:dyDescent="0.15">
      <c r="A77" s="131" t="s">
        <v>409</v>
      </c>
      <c r="B77" s="105" t="s">
        <v>872</v>
      </c>
      <c r="C77" s="32" t="s">
        <v>410</v>
      </c>
      <c r="D77" s="33">
        <v>10508</v>
      </c>
      <c r="E77" s="33">
        <v>0</v>
      </c>
      <c r="F77" s="33">
        <v>4324</v>
      </c>
      <c r="G77" s="33">
        <v>14832</v>
      </c>
      <c r="H77" s="33">
        <v>7019</v>
      </c>
      <c r="I77" s="33">
        <v>0</v>
      </c>
      <c r="J77" s="33">
        <v>4149</v>
      </c>
      <c r="K77" s="133">
        <v>11168</v>
      </c>
      <c r="L77" s="147">
        <f t="shared" si="4"/>
        <v>0.75296655879180152</v>
      </c>
      <c r="M77" s="147">
        <f t="shared" si="5"/>
        <v>0.66796726303768561</v>
      </c>
      <c r="N77" s="3" t="str">
        <f>_xlfn.XLOOKUP(AE[[#This Row],[Code]], 'System Mapping'!$A:$A, 'System Mapping'!$D:$D, "Not Found")</f>
        <v>NHS Black Country Integrated Care Board</v>
      </c>
    </row>
    <row r="78" spans="1:14" x14ac:dyDescent="0.15">
      <c r="A78" s="131" t="s">
        <v>316</v>
      </c>
      <c r="B78" s="105" t="s">
        <v>872</v>
      </c>
      <c r="C78" s="32" t="s">
        <v>317</v>
      </c>
      <c r="D78" s="33">
        <v>14684</v>
      </c>
      <c r="E78" s="33">
        <v>0</v>
      </c>
      <c r="F78" s="33">
        <v>6398</v>
      </c>
      <c r="G78" s="33">
        <v>21082</v>
      </c>
      <c r="H78" s="33">
        <v>7755</v>
      </c>
      <c r="I78" s="33">
        <v>0</v>
      </c>
      <c r="J78" s="33">
        <v>6264</v>
      </c>
      <c r="K78" s="133">
        <v>14019</v>
      </c>
      <c r="L78" s="147">
        <f t="shared" si="4"/>
        <v>0.66497486007020212</v>
      </c>
      <c r="M78" s="147">
        <f t="shared" si="5"/>
        <v>0.52812585126668488</v>
      </c>
      <c r="N78" s="3" t="str">
        <f>_xlfn.XLOOKUP(AE[[#This Row],[Code]], 'System Mapping'!$A:$A, 'System Mapping'!$D:$D, "Not Found")</f>
        <v>NHS Herefordshire And Worcestershire Integrated Care Board</v>
      </c>
    </row>
    <row r="79" spans="1:14" x14ac:dyDescent="0.15">
      <c r="A79" s="131" t="s">
        <v>318</v>
      </c>
      <c r="B79" s="105" t="s">
        <v>872</v>
      </c>
      <c r="C79" s="32" t="s">
        <v>319</v>
      </c>
      <c r="D79" s="33">
        <v>6436</v>
      </c>
      <c r="E79" s="33">
        <v>976</v>
      </c>
      <c r="F79" s="33">
        <v>148</v>
      </c>
      <c r="G79" s="33">
        <v>7560</v>
      </c>
      <c r="H79" s="33">
        <v>3811</v>
      </c>
      <c r="I79" s="33">
        <v>976</v>
      </c>
      <c r="J79" s="33">
        <v>148</v>
      </c>
      <c r="K79" s="133">
        <v>4935</v>
      </c>
      <c r="L79" s="147">
        <f t="shared" si="4"/>
        <v>0.65277777777777779</v>
      </c>
      <c r="M79" s="147">
        <f t="shared" si="5"/>
        <v>0.59213797389683032</v>
      </c>
      <c r="N79" s="3" t="str">
        <f>_xlfn.XLOOKUP(AE[[#This Row],[Code]], 'System Mapping'!$A:$A, 'System Mapping'!$D:$D, "Not Found")</f>
        <v>NHS Herefordshire And Worcestershire Integrated Care Board</v>
      </c>
    </row>
    <row r="80" spans="1:14" x14ac:dyDescent="0.15">
      <c r="A80" s="131" t="s">
        <v>529</v>
      </c>
      <c r="B80" s="105" t="s">
        <v>869</v>
      </c>
      <c r="C80" s="32" t="s">
        <v>530</v>
      </c>
      <c r="D80" s="33">
        <v>6549</v>
      </c>
      <c r="E80" s="33">
        <v>278</v>
      </c>
      <c r="F80" s="33">
        <v>0</v>
      </c>
      <c r="G80" s="33">
        <v>6827</v>
      </c>
      <c r="H80" s="33">
        <v>3945</v>
      </c>
      <c r="I80" s="33">
        <v>278</v>
      </c>
      <c r="J80" s="33">
        <v>0</v>
      </c>
      <c r="K80" s="133">
        <v>4223</v>
      </c>
      <c r="L80" s="147">
        <f t="shared" si="4"/>
        <v>0.6185733118500073</v>
      </c>
      <c r="M80" s="147">
        <f t="shared" si="5"/>
        <v>0.6023820430600092</v>
      </c>
      <c r="N80" s="3" t="str">
        <f>_xlfn.XLOOKUP(AE[[#This Row],[Code]], 'System Mapping'!$A:$A, 'System Mapping'!$D:$D, "Not Found")</f>
        <v>NHS West Yorkshire Integrated Care Board</v>
      </c>
    </row>
    <row r="81" spans="1:14" x14ac:dyDescent="0.15">
      <c r="A81" s="131" t="s">
        <v>521</v>
      </c>
      <c r="B81" s="105" t="s">
        <v>869</v>
      </c>
      <c r="C81" s="32" t="s">
        <v>522</v>
      </c>
      <c r="D81" s="33">
        <v>10098</v>
      </c>
      <c r="E81" s="33">
        <v>0</v>
      </c>
      <c r="F81" s="33">
        <v>0</v>
      </c>
      <c r="G81" s="33">
        <v>10098</v>
      </c>
      <c r="H81" s="33">
        <v>7197</v>
      </c>
      <c r="I81" s="33">
        <v>0</v>
      </c>
      <c r="J81" s="33">
        <v>0</v>
      </c>
      <c r="K81" s="133">
        <v>7197</v>
      </c>
      <c r="L81" s="147">
        <f t="shared" si="4"/>
        <v>0.71271538918597743</v>
      </c>
      <c r="M81" s="147">
        <f t="shared" si="5"/>
        <v>0.71271538918597743</v>
      </c>
      <c r="N81" s="3" t="str">
        <f>_xlfn.XLOOKUP(AE[[#This Row],[Code]], 'System Mapping'!$A:$A, 'System Mapping'!$D:$D, "Not Found")</f>
        <v>NHS South Yorkshire Integrated Care Board</v>
      </c>
    </row>
    <row r="82" spans="1:14" x14ac:dyDescent="0.15">
      <c r="A82" s="131" t="s">
        <v>531</v>
      </c>
      <c r="B82" s="105" t="s">
        <v>869</v>
      </c>
      <c r="C82" s="32" t="s">
        <v>532</v>
      </c>
      <c r="D82" s="33">
        <v>9332</v>
      </c>
      <c r="E82" s="33">
        <v>861</v>
      </c>
      <c r="F82" s="33">
        <v>3753</v>
      </c>
      <c r="G82" s="33">
        <v>13946</v>
      </c>
      <c r="H82" s="33">
        <v>6849</v>
      </c>
      <c r="I82" s="33">
        <v>861</v>
      </c>
      <c r="J82" s="33">
        <v>3745</v>
      </c>
      <c r="K82" s="133">
        <v>11455</v>
      </c>
      <c r="L82" s="147">
        <f t="shared" si="4"/>
        <v>0.82138247526172381</v>
      </c>
      <c r="M82" s="147">
        <f t="shared" si="5"/>
        <v>0.73392627518216891</v>
      </c>
      <c r="N82" s="3" t="str">
        <f>_xlfn.XLOOKUP(AE[[#This Row],[Code]], 'System Mapping'!$A:$A, 'System Mapping'!$D:$D, "Not Found")</f>
        <v>NHS West Yorkshire Integrated Care Board</v>
      </c>
    </row>
    <row r="83" spans="1:14" x14ac:dyDescent="0.15">
      <c r="A83" s="131" t="s">
        <v>498</v>
      </c>
      <c r="B83" s="105" t="s">
        <v>869</v>
      </c>
      <c r="C83" s="32" t="s">
        <v>499</v>
      </c>
      <c r="D83" s="33">
        <v>0</v>
      </c>
      <c r="E83" s="33">
        <v>0</v>
      </c>
      <c r="F83" s="33">
        <v>3624</v>
      </c>
      <c r="G83" s="33">
        <v>3624</v>
      </c>
      <c r="H83" s="33">
        <v>0</v>
      </c>
      <c r="I83" s="33">
        <v>0</v>
      </c>
      <c r="J83" s="33">
        <v>3142</v>
      </c>
      <c r="K83" s="133">
        <v>3142</v>
      </c>
      <c r="L83" s="147">
        <f t="shared" si="4"/>
        <v>0.86699779249448128</v>
      </c>
      <c r="M83" s="147" t="str">
        <f t="shared" si="5"/>
        <v/>
      </c>
      <c r="N83" s="3" t="str">
        <f>_xlfn.XLOOKUP(AE[[#This Row],[Code]], 'System Mapping'!$A:$A, 'System Mapping'!$D:$D, "Not Found")</f>
        <v>NHS Humber And North Yorkshire Integrated Care Board</v>
      </c>
    </row>
    <row r="84" spans="1:14" x14ac:dyDescent="0.15">
      <c r="A84" s="131" t="s">
        <v>500</v>
      </c>
      <c r="B84" s="105" t="s">
        <v>869</v>
      </c>
      <c r="C84" s="32" t="s">
        <v>501</v>
      </c>
      <c r="D84" s="33">
        <v>0</v>
      </c>
      <c r="E84" s="33">
        <v>0</v>
      </c>
      <c r="F84" s="33">
        <v>1478</v>
      </c>
      <c r="G84" s="33">
        <v>1478</v>
      </c>
      <c r="H84" s="33">
        <v>0</v>
      </c>
      <c r="I84" s="33">
        <v>0</v>
      </c>
      <c r="J84" s="33">
        <v>1396</v>
      </c>
      <c r="K84" s="133">
        <v>1396</v>
      </c>
      <c r="L84" s="147">
        <f t="shared" si="4"/>
        <v>0.94451962110960763</v>
      </c>
      <c r="M84" s="147" t="str">
        <f t="shared" si="5"/>
        <v/>
      </c>
      <c r="N84" s="3" t="str">
        <f>_xlfn.XLOOKUP(AE[[#This Row],[Code]], 'System Mapping'!$A:$A, 'System Mapping'!$D:$D, "Not Found")</f>
        <v>NHS Humber And North Yorkshire Integrated Care Board</v>
      </c>
    </row>
    <row r="85" spans="1:14" x14ac:dyDescent="0.15">
      <c r="A85" s="131" t="s">
        <v>533</v>
      </c>
      <c r="B85" s="105" t="s">
        <v>869</v>
      </c>
      <c r="C85" s="32" t="s">
        <v>729</v>
      </c>
      <c r="D85" s="33">
        <v>16465</v>
      </c>
      <c r="E85" s="33">
        <v>0</v>
      </c>
      <c r="F85" s="33">
        <v>0</v>
      </c>
      <c r="G85" s="33">
        <v>16465</v>
      </c>
      <c r="H85" s="33">
        <v>14048</v>
      </c>
      <c r="I85" s="33">
        <v>0</v>
      </c>
      <c r="J85" s="33">
        <v>0</v>
      </c>
      <c r="K85" s="133">
        <v>14048</v>
      </c>
      <c r="L85" s="147">
        <f t="shared" si="4"/>
        <v>0.85320376556331612</v>
      </c>
      <c r="M85" s="147">
        <f t="shared" si="5"/>
        <v>0.85320376556331612</v>
      </c>
      <c r="N85" s="3" t="str">
        <f>_xlfn.XLOOKUP(AE[[#This Row],[Code]], 'System Mapping'!$A:$A, 'System Mapping'!$D:$D, "Not Found")</f>
        <v>NHS West Yorkshire Integrated Care Board</v>
      </c>
    </row>
    <row r="86" spans="1:14" x14ac:dyDescent="0.15">
      <c r="A86" s="131" t="s">
        <v>445</v>
      </c>
      <c r="B86" s="105" t="s">
        <v>869</v>
      </c>
      <c r="C86" s="32" t="s">
        <v>730</v>
      </c>
      <c r="D86" s="33">
        <v>12901</v>
      </c>
      <c r="E86" s="33">
        <v>0</v>
      </c>
      <c r="F86" s="33">
        <v>10457</v>
      </c>
      <c r="G86" s="33">
        <v>23358</v>
      </c>
      <c r="H86" s="33">
        <v>7588</v>
      </c>
      <c r="I86" s="33">
        <v>0</v>
      </c>
      <c r="J86" s="33">
        <v>10457</v>
      </c>
      <c r="K86" s="133">
        <v>18045</v>
      </c>
      <c r="L86" s="147">
        <f t="shared" si="4"/>
        <v>0.77254045723092735</v>
      </c>
      <c r="M86" s="147">
        <f t="shared" si="5"/>
        <v>0.58817145957677697</v>
      </c>
      <c r="N86" s="3" t="str">
        <f>_xlfn.XLOOKUP(AE[[#This Row],[Code]], 'System Mapping'!$A:$A, 'System Mapping'!$D:$D, "Not Found")</f>
        <v>NHS North East And North Cumbria Integrated Care Board</v>
      </c>
    </row>
    <row r="87" spans="1:14" x14ac:dyDescent="0.15">
      <c r="A87" s="131" t="s">
        <v>523</v>
      </c>
      <c r="B87" s="105" t="s">
        <v>869</v>
      </c>
      <c r="C87" s="32" t="s">
        <v>731</v>
      </c>
      <c r="D87" s="33">
        <v>14439</v>
      </c>
      <c r="E87" s="33">
        <v>0</v>
      </c>
      <c r="F87" s="33">
        <v>4120</v>
      </c>
      <c r="G87" s="33">
        <v>18559</v>
      </c>
      <c r="H87" s="33">
        <v>9492</v>
      </c>
      <c r="I87" s="33">
        <v>0</v>
      </c>
      <c r="J87" s="33">
        <v>4111</v>
      </c>
      <c r="K87" s="133">
        <v>13603</v>
      </c>
      <c r="L87" s="147">
        <f t="shared" si="4"/>
        <v>0.73295974998652946</v>
      </c>
      <c r="M87" s="147">
        <f t="shared" si="5"/>
        <v>0.65738624558487435</v>
      </c>
      <c r="N87" s="3" t="str">
        <f>_xlfn.XLOOKUP(AE[[#This Row],[Code]], 'System Mapping'!$A:$A, 'System Mapping'!$D:$D, "Not Found")</f>
        <v>NHS South Yorkshire Integrated Care Board</v>
      </c>
    </row>
    <row r="88" spans="1:14" x14ac:dyDescent="0.15">
      <c r="A88" s="131" t="s">
        <v>502</v>
      </c>
      <c r="B88" s="105" t="s">
        <v>869</v>
      </c>
      <c r="C88" s="32" t="s">
        <v>503</v>
      </c>
      <c r="D88" s="33">
        <v>0</v>
      </c>
      <c r="E88" s="33">
        <v>0</v>
      </c>
      <c r="F88" s="33">
        <v>2956</v>
      </c>
      <c r="G88" s="33">
        <v>2956</v>
      </c>
      <c r="H88" s="33">
        <v>0</v>
      </c>
      <c r="I88" s="33">
        <v>0</v>
      </c>
      <c r="J88" s="33">
        <v>2760</v>
      </c>
      <c r="K88" s="133">
        <v>2760</v>
      </c>
      <c r="L88" s="147">
        <f t="shared" si="4"/>
        <v>0.93369418132611637</v>
      </c>
      <c r="M88" s="147" t="str">
        <f t="shared" si="5"/>
        <v/>
      </c>
      <c r="N88" s="3" t="str">
        <f>_xlfn.XLOOKUP(AE[[#This Row],[Code]], 'System Mapping'!$A:$A, 'System Mapping'!$D:$D, "Not Found")</f>
        <v>NHS Humber And North Yorkshire Integrated Care Board</v>
      </c>
    </row>
    <row r="89" spans="1:14" x14ac:dyDescent="0.15">
      <c r="A89" s="131" t="s">
        <v>448</v>
      </c>
      <c r="B89" s="105" t="s">
        <v>869</v>
      </c>
      <c r="C89" s="32" t="s">
        <v>449</v>
      </c>
      <c r="D89" s="33">
        <v>5605</v>
      </c>
      <c r="E89" s="33">
        <v>0</v>
      </c>
      <c r="F89" s="33">
        <v>4691</v>
      </c>
      <c r="G89" s="33">
        <v>10296</v>
      </c>
      <c r="H89" s="33">
        <v>3303</v>
      </c>
      <c r="I89" s="33">
        <v>0</v>
      </c>
      <c r="J89" s="33">
        <v>4649</v>
      </c>
      <c r="K89" s="133">
        <v>7952</v>
      </c>
      <c r="L89" s="147">
        <f t="shared" si="4"/>
        <v>0.77233877233877235</v>
      </c>
      <c r="M89" s="147">
        <f t="shared" si="5"/>
        <v>0.5892952720785013</v>
      </c>
      <c r="N89" s="3" t="str">
        <f>_xlfn.XLOOKUP(AE[[#This Row],[Code]], 'System Mapping'!$A:$A, 'System Mapping'!$D:$D, "Not Found")</f>
        <v>NHS North East And North Cumbria Integrated Care Board</v>
      </c>
    </row>
    <row r="90" spans="1:14" x14ac:dyDescent="0.15">
      <c r="A90" s="131" t="s">
        <v>506</v>
      </c>
      <c r="B90" s="105" t="s">
        <v>869</v>
      </c>
      <c r="C90" s="32" t="s">
        <v>507</v>
      </c>
      <c r="D90" s="33">
        <v>0</v>
      </c>
      <c r="E90" s="33">
        <v>0</v>
      </c>
      <c r="F90" s="33">
        <v>1652</v>
      </c>
      <c r="G90" s="33">
        <v>1652</v>
      </c>
      <c r="H90" s="33">
        <v>0</v>
      </c>
      <c r="I90" s="33">
        <v>0</v>
      </c>
      <c r="J90" s="33">
        <v>1610</v>
      </c>
      <c r="K90" s="133">
        <v>1610</v>
      </c>
      <c r="L90" s="147">
        <f t="shared" si="4"/>
        <v>0.97457627118644063</v>
      </c>
      <c r="M90" s="147" t="str">
        <f t="shared" si="5"/>
        <v/>
      </c>
      <c r="N90" s="3" t="str">
        <f>_xlfn.XLOOKUP(AE[[#This Row],[Code]], 'System Mapping'!$A:$A, 'System Mapping'!$D:$D, "Not Found")</f>
        <v>NHS Humber And North Yorkshire Integrated Care Board</v>
      </c>
    </row>
    <row r="91" spans="1:14" x14ac:dyDescent="0.15">
      <c r="A91" s="131" t="s">
        <v>534</v>
      </c>
      <c r="B91" s="105" t="s">
        <v>869</v>
      </c>
      <c r="C91" s="32" t="s">
        <v>732</v>
      </c>
      <c r="D91" s="33">
        <v>5599</v>
      </c>
      <c r="E91" s="33">
        <v>0</v>
      </c>
      <c r="F91" s="33">
        <v>1520</v>
      </c>
      <c r="G91" s="33">
        <v>7119</v>
      </c>
      <c r="H91" s="33">
        <v>3626</v>
      </c>
      <c r="I91" s="33">
        <v>0</v>
      </c>
      <c r="J91" s="33">
        <v>1508</v>
      </c>
      <c r="K91" s="133">
        <v>5134</v>
      </c>
      <c r="L91" s="147">
        <f t="shared" si="4"/>
        <v>0.72116870346958839</v>
      </c>
      <c r="M91" s="147">
        <f t="shared" si="5"/>
        <v>0.64761564565100915</v>
      </c>
      <c r="N91" s="3" t="str">
        <f>_xlfn.XLOOKUP(AE[[#This Row],[Code]], 'System Mapping'!$A:$A, 'System Mapping'!$D:$D, "Not Found")</f>
        <v>NHS Humber And North Yorkshire Integrated Care Board</v>
      </c>
    </row>
    <row r="92" spans="1:14" x14ac:dyDescent="0.15">
      <c r="A92" s="131" t="s">
        <v>510</v>
      </c>
      <c r="B92" s="105" t="s">
        <v>869</v>
      </c>
      <c r="C92" s="32" t="s">
        <v>511</v>
      </c>
      <c r="D92" s="33">
        <v>10218</v>
      </c>
      <c r="E92" s="33">
        <v>0</v>
      </c>
      <c r="F92" s="33">
        <v>4005</v>
      </c>
      <c r="G92" s="33">
        <v>14223</v>
      </c>
      <c r="H92" s="33">
        <v>4333</v>
      </c>
      <c r="I92" s="33">
        <v>0</v>
      </c>
      <c r="J92" s="33">
        <v>3425</v>
      </c>
      <c r="K92" s="133">
        <v>7758</v>
      </c>
      <c r="L92" s="147">
        <f t="shared" si="4"/>
        <v>0.54545454545454541</v>
      </c>
      <c r="M92" s="147">
        <f t="shared" si="5"/>
        <v>0.4240555881777256</v>
      </c>
      <c r="N92" s="3" t="str">
        <f>_xlfn.XLOOKUP(AE[[#This Row],[Code]], 'System Mapping'!$A:$A, 'System Mapping'!$D:$D, "Not Found")</f>
        <v>NHS Humber And North Yorkshire Integrated Care Board</v>
      </c>
    </row>
    <row r="93" spans="1:14" x14ac:dyDescent="0.15">
      <c r="A93" s="131" t="s">
        <v>512</v>
      </c>
      <c r="B93" s="105" t="s">
        <v>869</v>
      </c>
      <c r="C93" s="32" t="s">
        <v>825</v>
      </c>
      <c r="D93" s="33">
        <v>0</v>
      </c>
      <c r="E93" s="33">
        <v>0</v>
      </c>
      <c r="F93" s="33">
        <v>1132</v>
      </c>
      <c r="G93" s="33">
        <v>1132</v>
      </c>
      <c r="H93" s="33">
        <v>0</v>
      </c>
      <c r="I93" s="33">
        <v>0</v>
      </c>
      <c r="J93" s="33">
        <v>1122</v>
      </c>
      <c r="K93" s="133">
        <v>1122</v>
      </c>
      <c r="L93" s="147">
        <f t="shared" si="4"/>
        <v>0.99116607773851595</v>
      </c>
      <c r="M93" s="147" t="str">
        <f t="shared" si="5"/>
        <v/>
      </c>
      <c r="N93" s="3" t="str">
        <f>_xlfn.XLOOKUP(AE[[#This Row],[Code]], 'System Mapping'!$A:$A, 'System Mapping'!$D:$D, "Not Found")</f>
        <v>NHS Humber And North Yorkshire Integrated Care Board</v>
      </c>
    </row>
    <row r="94" spans="1:14" x14ac:dyDescent="0.15">
      <c r="A94" s="131" t="s">
        <v>537</v>
      </c>
      <c r="B94" s="105" t="s">
        <v>869</v>
      </c>
      <c r="C94" s="32" t="s">
        <v>538</v>
      </c>
      <c r="D94" s="33">
        <v>19869</v>
      </c>
      <c r="E94" s="33">
        <v>729</v>
      </c>
      <c r="F94" s="33">
        <v>10824</v>
      </c>
      <c r="G94" s="33">
        <v>31422</v>
      </c>
      <c r="H94" s="33">
        <v>12276</v>
      </c>
      <c r="I94" s="33">
        <v>729</v>
      </c>
      <c r="J94" s="33">
        <v>10779</v>
      </c>
      <c r="K94" s="133">
        <v>23784</v>
      </c>
      <c r="L94" s="147">
        <f t="shared" si="4"/>
        <v>0.75692190185220543</v>
      </c>
      <c r="M94" s="147">
        <f t="shared" si="5"/>
        <v>0.61784689717650609</v>
      </c>
      <c r="N94" s="3" t="str">
        <f>_xlfn.XLOOKUP(AE[[#This Row],[Code]], 'System Mapping'!$A:$A, 'System Mapping'!$D:$D, "Not Found")</f>
        <v>NHS West Yorkshire Integrated Care Board</v>
      </c>
    </row>
    <row r="95" spans="1:14" x14ac:dyDescent="0.15">
      <c r="A95" s="131" t="s">
        <v>539</v>
      </c>
      <c r="B95" s="105" t="s">
        <v>869</v>
      </c>
      <c r="C95" s="32" t="s">
        <v>828</v>
      </c>
      <c r="D95" s="33">
        <v>0</v>
      </c>
      <c r="E95" s="33">
        <v>0</v>
      </c>
      <c r="F95" s="33">
        <v>2517</v>
      </c>
      <c r="G95" s="33">
        <v>2517</v>
      </c>
      <c r="H95" s="33">
        <v>0</v>
      </c>
      <c r="I95" s="33">
        <v>0</v>
      </c>
      <c r="J95" s="33">
        <v>2508</v>
      </c>
      <c r="K95" s="133">
        <v>2508</v>
      </c>
      <c r="L95" s="147">
        <f t="shared" si="4"/>
        <v>0.9964243146603099</v>
      </c>
      <c r="M95" s="147" t="str">
        <f t="shared" si="5"/>
        <v/>
      </c>
      <c r="N95" s="3" t="str">
        <f>_xlfn.XLOOKUP(AE[[#This Row],[Code]], 'System Mapping'!$A:$A, 'System Mapping'!$D:$D, "Not Found")</f>
        <v>NHS West Yorkshire Integrated Care Board</v>
      </c>
    </row>
    <row r="96" spans="1:14" x14ac:dyDescent="0.15">
      <c r="A96" s="131" t="s">
        <v>541</v>
      </c>
      <c r="B96" s="105" t="s">
        <v>869</v>
      </c>
      <c r="C96" s="32" t="s">
        <v>542</v>
      </c>
      <c r="D96" s="33">
        <v>17233</v>
      </c>
      <c r="E96" s="33">
        <v>139</v>
      </c>
      <c r="F96" s="33">
        <v>6757</v>
      </c>
      <c r="G96" s="33">
        <v>24129</v>
      </c>
      <c r="H96" s="33">
        <v>10193</v>
      </c>
      <c r="I96" s="33">
        <v>139</v>
      </c>
      <c r="J96" s="33">
        <v>6579</v>
      </c>
      <c r="K96" s="133">
        <v>16911</v>
      </c>
      <c r="L96" s="147">
        <f t="shared" si="4"/>
        <v>0.70085788884744493</v>
      </c>
      <c r="M96" s="147">
        <f t="shared" si="5"/>
        <v>0.59148145998955493</v>
      </c>
      <c r="N96" s="3" t="str">
        <f>_xlfn.XLOOKUP(AE[[#This Row],[Code]], 'System Mapping'!$A:$A, 'System Mapping'!$D:$D, "Not Found")</f>
        <v>NHS West Yorkshire Integrated Care Board</v>
      </c>
    </row>
    <row r="97" spans="1:14" x14ac:dyDescent="0.15">
      <c r="A97" s="131" t="s">
        <v>446</v>
      </c>
      <c r="B97" s="105" t="s">
        <v>869</v>
      </c>
      <c r="C97" s="32" t="s">
        <v>447</v>
      </c>
      <c r="D97" s="33">
        <v>9184</v>
      </c>
      <c r="E97" s="33">
        <v>0</v>
      </c>
      <c r="F97" s="33">
        <v>3015</v>
      </c>
      <c r="G97" s="33">
        <v>12199</v>
      </c>
      <c r="H97" s="33">
        <v>4747</v>
      </c>
      <c r="I97" s="33">
        <v>0</v>
      </c>
      <c r="J97" s="33">
        <v>2866</v>
      </c>
      <c r="K97" s="133">
        <v>7613</v>
      </c>
      <c r="L97" s="147">
        <f t="shared" si="4"/>
        <v>0.62406754652020657</v>
      </c>
      <c r="M97" s="147">
        <f t="shared" si="5"/>
        <v>0.51687717770034847</v>
      </c>
      <c r="N97" s="3" t="str">
        <f>_xlfn.XLOOKUP(AE[[#This Row],[Code]], 'System Mapping'!$A:$A, 'System Mapping'!$D:$D, "Not Found")</f>
        <v>NHS North East And North Cumbria Integrated Care Board</v>
      </c>
    </row>
    <row r="98" spans="1:14" x14ac:dyDescent="0.15">
      <c r="A98" s="131" t="s">
        <v>450</v>
      </c>
      <c r="B98" s="105" t="s">
        <v>869</v>
      </c>
      <c r="C98" s="32" t="s">
        <v>733</v>
      </c>
      <c r="D98" s="33">
        <v>5103</v>
      </c>
      <c r="E98" s="33">
        <v>0</v>
      </c>
      <c r="F98" s="33">
        <v>11239</v>
      </c>
      <c r="G98" s="33">
        <v>16342</v>
      </c>
      <c r="H98" s="33">
        <v>2048</v>
      </c>
      <c r="I98" s="33">
        <v>0</v>
      </c>
      <c r="J98" s="33">
        <v>11191</v>
      </c>
      <c r="K98" s="133">
        <v>13239</v>
      </c>
      <c r="L98" s="147">
        <f t="shared" ref="L98:L129" si="6">IFERROR(K98/G98, "Missing Data")</f>
        <v>0.81012116020070979</v>
      </c>
      <c r="M98" s="147">
        <f t="shared" ref="M98:M129" si="7">IFERROR(IF(D98=0,"",H98/D98), "Missing Data")</f>
        <v>0.40133254948069763</v>
      </c>
      <c r="N98" s="3" t="str">
        <f>_xlfn.XLOOKUP(AE[[#This Row],[Code]], 'System Mapping'!$A:$A, 'System Mapping'!$D:$D, "Not Found")</f>
        <v>NHS North East And North Cumbria Integrated Care Board</v>
      </c>
    </row>
    <row r="99" spans="1:14" x14ac:dyDescent="0.15">
      <c r="A99" s="131" t="s">
        <v>514</v>
      </c>
      <c r="B99" s="105" t="s">
        <v>869</v>
      </c>
      <c r="C99" s="32" t="s">
        <v>734</v>
      </c>
      <c r="D99" s="33">
        <v>10716</v>
      </c>
      <c r="E99" s="33">
        <v>0</v>
      </c>
      <c r="F99" s="33">
        <v>6714</v>
      </c>
      <c r="G99" s="33">
        <v>17430</v>
      </c>
      <c r="H99" s="33">
        <v>5443</v>
      </c>
      <c r="I99" s="33">
        <v>0</v>
      </c>
      <c r="J99" s="33">
        <v>6634</v>
      </c>
      <c r="K99" s="133">
        <v>12077</v>
      </c>
      <c r="L99" s="147">
        <f t="shared" si="6"/>
        <v>0.6928858290304073</v>
      </c>
      <c r="M99" s="147">
        <f t="shared" si="7"/>
        <v>0.50793206420306081</v>
      </c>
      <c r="N99" s="3" t="str">
        <f>_xlfn.XLOOKUP(AE[[#This Row],[Code]], 'System Mapping'!$A:$A, 'System Mapping'!$D:$D, "Not Found")</f>
        <v>NHS Humber And North Yorkshire Integrated Care Board</v>
      </c>
    </row>
    <row r="100" spans="1:14" x14ac:dyDescent="0.15">
      <c r="A100" s="131" t="s">
        <v>451</v>
      </c>
      <c r="B100" s="105" t="s">
        <v>869</v>
      </c>
      <c r="C100" s="32" t="s">
        <v>452</v>
      </c>
      <c r="D100" s="33">
        <v>10939</v>
      </c>
      <c r="E100" s="33">
        <v>0</v>
      </c>
      <c r="F100" s="33">
        <v>14435</v>
      </c>
      <c r="G100" s="33">
        <v>25374</v>
      </c>
      <c r="H100" s="33">
        <v>8595</v>
      </c>
      <c r="I100" s="33">
        <v>0</v>
      </c>
      <c r="J100" s="33">
        <v>14435</v>
      </c>
      <c r="K100" s="133">
        <v>23030</v>
      </c>
      <c r="L100" s="147">
        <f t="shared" si="6"/>
        <v>0.90762197525025612</v>
      </c>
      <c r="M100" s="147">
        <f t="shared" si="7"/>
        <v>0.78572081543102656</v>
      </c>
      <c r="N100" s="3" t="str">
        <f>_xlfn.XLOOKUP(AE[[#This Row],[Code]], 'System Mapping'!$A:$A, 'System Mapping'!$D:$D, "Not Found")</f>
        <v>NHS North East And North Cumbria Integrated Care Board</v>
      </c>
    </row>
    <row r="101" spans="1:14" x14ac:dyDescent="0.15">
      <c r="A101" s="131" t="s">
        <v>524</v>
      </c>
      <c r="B101" s="105" t="s">
        <v>869</v>
      </c>
      <c r="C101" s="32" t="s">
        <v>735</v>
      </c>
      <c r="D101" s="33">
        <v>4643</v>
      </c>
      <c r="E101" s="33">
        <v>0</v>
      </c>
      <c r="F101" s="33">
        <v>364</v>
      </c>
      <c r="G101" s="33">
        <v>5007</v>
      </c>
      <c r="H101" s="33">
        <v>4160</v>
      </c>
      <c r="I101" s="33">
        <v>0</v>
      </c>
      <c r="J101" s="33">
        <v>361</v>
      </c>
      <c r="K101" s="133">
        <v>4521</v>
      </c>
      <c r="L101" s="147">
        <f t="shared" si="6"/>
        <v>0.90293588975434391</v>
      </c>
      <c r="M101" s="147">
        <f t="shared" si="7"/>
        <v>0.89597243161748874</v>
      </c>
      <c r="N101" s="3" t="str">
        <f>_xlfn.XLOOKUP(AE[[#This Row],[Code]], 'System Mapping'!$A:$A, 'System Mapping'!$D:$D, "Not Found")</f>
        <v>NHS South Yorkshire Integrated Care Board</v>
      </c>
    </row>
    <row r="102" spans="1:14" x14ac:dyDescent="0.15">
      <c r="A102" s="131" t="s">
        <v>525</v>
      </c>
      <c r="B102" s="105" t="s">
        <v>869</v>
      </c>
      <c r="C102" s="32" t="s">
        <v>526</v>
      </c>
      <c r="D102" s="33">
        <v>9334</v>
      </c>
      <c r="E102" s="33">
        <v>1395</v>
      </c>
      <c r="F102" s="33">
        <v>8121</v>
      </c>
      <c r="G102" s="33">
        <v>18850</v>
      </c>
      <c r="H102" s="33">
        <v>4463</v>
      </c>
      <c r="I102" s="33">
        <v>1329</v>
      </c>
      <c r="J102" s="33">
        <v>7757</v>
      </c>
      <c r="K102" s="133">
        <v>13549</v>
      </c>
      <c r="L102" s="147">
        <f t="shared" si="6"/>
        <v>0.71877984084880642</v>
      </c>
      <c r="M102" s="147">
        <f t="shared" si="7"/>
        <v>0.47814441825583887</v>
      </c>
      <c r="N102" s="3" t="str">
        <f>_xlfn.XLOOKUP(AE[[#This Row],[Code]], 'System Mapping'!$A:$A, 'System Mapping'!$D:$D, "Not Found")</f>
        <v>NHS South Yorkshire Integrated Care Board</v>
      </c>
    </row>
    <row r="103" spans="1:14" x14ac:dyDescent="0.15">
      <c r="A103" s="131" t="s">
        <v>453</v>
      </c>
      <c r="B103" s="105" t="s">
        <v>869</v>
      </c>
      <c r="C103" s="32" t="s">
        <v>454</v>
      </c>
      <c r="D103" s="33">
        <v>7575</v>
      </c>
      <c r="E103" s="33">
        <v>0</v>
      </c>
      <c r="F103" s="33">
        <v>11372</v>
      </c>
      <c r="G103" s="33">
        <v>18947</v>
      </c>
      <c r="H103" s="33">
        <v>3623</v>
      </c>
      <c r="I103" s="33">
        <v>0</v>
      </c>
      <c r="J103" s="33">
        <v>11011</v>
      </c>
      <c r="K103" s="133">
        <v>14634</v>
      </c>
      <c r="L103" s="147">
        <f t="shared" si="6"/>
        <v>0.77236501820868741</v>
      </c>
      <c r="M103" s="147">
        <f t="shared" si="7"/>
        <v>0.47828382838283828</v>
      </c>
      <c r="N103" s="3" t="str">
        <f>_xlfn.XLOOKUP(AE[[#This Row],[Code]], 'System Mapping'!$A:$A, 'System Mapping'!$D:$D, "Not Found")</f>
        <v>NHS North East And North Cumbria Integrated Care Board</v>
      </c>
    </row>
    <row r="104" spans="1:14" x14ac:dyDescent="0.15">
      <c r="A104" s="131" t="s">
        <v>455</v>
      </c>
      <c r="B104" s="105" t="s">
        <v>869</v>
      </c>
      <c r="C104" s="32" t="s">
        <v>827</v>
      </c>
      <c r="D104" s="33">
        <v>12593</v>
      </c>
      <c r="E104" s="33">
        <v>1465</v>
      </c>
      <c r="F104" s="33">
        <v>7491</v>
      </c>
      <c r="G104" s="33">
        <v>21549</v>
      </c>
      <c r="H104" s="33">
        <v>7475</v>
      </c>
      <c r="I104" s="33">
        <v>1424</v>
      </c>
      <c r="J104" s="33">
        <v>7201</v>
      </c>
      <c r="K104" s="133">
        <v>16100</v>
      </c>
      <c r="L104" s="147">
        <f t="shared" si="6"/>
        <v>0.74713443779293698</v>
      </c>
      <c r="M104" s="147">
        <f t="shared" si="7"/>
        <v>0.59358373699674427</v>
      </c>
      <c r="N104" s="3" t="str">
        <f>_xlfn.XLOOKUP(AE[[#This Row],[Code]], 'System Mapping'!$A:$A, 'System Mapping'!$D:$D, "Not Found")</f>
        <v>NHS North East And North Cumbria Integrated Care Board</v>
      </c>
    </row>
    <row r="105" spans="1:14" x14ac:dyDescent="0.15">
      <c r="A105" s="131" t="s">
        <v>547</v>
      </c>
      <c r="B105" s="105" t="s">
        <v>869</v>
      </c>
      <c r="C105" s="32" t="s">
        <v>862</v>
      </c>
      <c r="D105" s="33">
        <v>0</v>
      </c>
      <c r="E105" s="33">
        <v>0</v>
      </c>
      <c r="F105" s="33">
        <v>0</v>
      </c>
      <c r="G105" s="33">
        <v>0</v>
      </c>
      <c r="H105" s="33">
        <v>0</v>
      </c>
      <c r="I105" s="33">
        <v>0</v>
      </c>
      <c r="J105" s="33">
        <v>0</v>
      </c>
      <c r="K105" s="133">
        <v>0</v>
      </c>
      <c r="L105" s="147" t="str">
        <f t="shared" si="6"/>
        <v>Missing Data</v>
      </c>
      <c r="M105" s="147" t="str">
        <f t="shared" si="7"/>
        <v/>
      </c>
      <c r="N105" s="3" t="str">
        <f>_xlfn.XLOOKUP(AE[[#This Row],[Code]], 'System Mapping'!$A:$A, 'System Mapping'!$D:$D, "Not Found")</f>
        <v>NHS West Yorkshire Integrated Care Board</v>
      </c>
    </row>
    <row r="106" spans="1:14" x14ac:dyDescent="0.15">
      <c r="A106" s="131" t="s">
        <v>459</v>
      </c>
      <c r="B106" s="105" t="s">
        <v>869</v>
      </c>
      <c r="C106" s="32" t="s">
        <v>460</v>
      </c>
      <c r="D106" s="33">
        <v>12694</v>
      </c>
      <c r="E106" s="33">
        <v>1862</v>
      </c>
      <c r="F106" s="33">
        <v>10291</v>
      </c>
      <c r="G106" s="33">
        <v>24847</v>
      </c>
      <c r="H106" s="33">
        <v>7125</v>
      </c>
      <c r="I106" s="33">
        <v>1759</v>
      </c>
      <c r="J106" s="33">
        <v>10052</v>
      </c>
      <c r="K106" s="133">
        <v>18936</v>
      </c>
      <c r="L106" s="147">
        <f t="shared" si="6"/>
        <v>0.76210407695093974</v>
      </c>
      <c r="M106" s="147">
        <f t="shared" si="7"/>
        <v>0.56128879785725538</v>
      </c>
      <c r="N106" s="3" t="str">
        <f>_xlfn.XLOOKUP(AE[[#This Row],[Code]], 'System Mapping'!$A:$A, 'System Mapping'!$D:$D, "Not Found")</f>
        <v>NHS North East And North Cumbria Integrated Care Board</v>
      </c>
    </row>
    <row r="107" spans="1:14" x14ac:dyDescent="0.15">
      <c r="A107" s="131" t="s">
        <v>527</v>
      </c>
      <c r="B107" s="105" t="s">
        <v>869</v>
      </c>
      <c r="C107" s="32" t="s">
        <v>528</v>
      </c>
      <c r="D107" s="33">
        <v>10045</v>
      </c>
      <c r="E107" s="33">
        <v>0</v>
      </c>
      <c r="F107" s="33">
        <v>0</v>
      </c>
      <c r="G107" s="33">
        <v>10045</v>
      </c>
      <c r="H107" s="33">
        <v>6949</v>
      </c>
      <c r="I107" s="33">
        <v>0</v>
      </c>
      <c r="J107" s="33">
        <v>0</v>
      </c>
      <c r="K107" s="133">
        <v>6949</v>
      </c>
      <c r="L107" s="147">
        <f t="shared" si="6"/>
        <v>0.69178695868591344</v>
      </c>
      <c r="M107" s="147">
        <f t="shared" si="7"/>
        <v>0.69178695868591344</v>
      </c>
      <c r="N107" s="3" t="str">
        <f>_xlfn.XLOOKUP(AE[[#This Row],[Code]], 'System Mapping'!$A:$A, 'System Mapping'!$D:$D, "Not Found")</f>
        <v>NHS South Yorkshire Integrated Care Board</v>
      </c>
    </row>
    <row r="108" spans="1:14" x14ac:dyDescent="0.15">
      <c r="A108" s="131" t="s">
        <v>461</v>
      </c>
      <c r="B108" s="105" t="s">
        <v>869</v>
      </c>
      <c r="C108" s="32" t="s">
        <v>462</v>
      </c>
      <c r="D108" s="33">
        <v>0</v>
      </c>
      <c r="E108" s="33">
        <v>0</v>
      </c>
      <c r="F108" s="33">
        <v>492</v>
      </c>
      <c r="G108" s="33">
        <v>492</v>
      </c>
      <c r="H108" s="33">
        <v>0</v>
      </c>
      <c r="I108" s="33">
        <v>0</v>
      </c>
      <c r="J108" s="33">
        <v>492</v>
      </c>
      <c r="K108" s="133">
        <v>492</v>
      </c>
      <c r="L108" s="147">
        <f t="shared" si="6"/>
        <v>1</v>
      </c>
      <c r="M108" s="147" t="str">
        <f t="shared" si="7"/>
        <v/>
      </c>
      <c r="N108" s="3" t="str">
        <f>_xlfn.XLOOKUP(AE[[#This Row],[Code]], 'System Mapping'!$A:$A, 'System Mapping'!$D:$D, "Not Found")</f>
        <v>NHS North East And North Cumbria Integrated Care Board</v>
      </c>
    </row>
    <row r="109" spans="1:14" x14ac:dyDescent="0.15">
      <c r="A109" s="131" t="s">
        <v>519</v>
      </c>
      <c r="B109" s="105" t="s">
        <v>869</v>
      </c>
      <c r="C109" s="32" t="s">
        <v>520</v>
      </c>
      <c r="D109" s="33">
        <v>12536</v>
      </c>
      <c r="E109" s="33">
        <v>34</v>
      </c>
      <c r="F109" s="33">
        <v>5759</v>
      </c>
      <c r="G109" s="33">
        <v>18329</v>
      </c>
      <c r="H109" s="33">
        <v>6049</v>
      </c>
      <c r="I109" s="33">
        <v>34</v>
      </c>
      <c r="J109" s="33">
        <v>5245</v>
      </c>
      <c r="K109" s="133">
        <v>11328</v>
      </c>
      <c r="L109" s="147">
        <f t="shared" si="6"/>
        <v>0.61803699056140537</v>
      </c>
      <c r="M109" s="147">
        <f t="shared" si="7"/>
        <v>0.48253031269942565</v>
      </c>
      <c r="N109" s="3" t="str">
        <f>_xlfn.XLOOKUP(AE[[#This Row],[Code]], 'System Mapping'!$A:$A, 'System Mapping'!$D:$D, "Not Found")</f>
        <v>NHS Humber And North Yorkshire Integrated Care Board</v>
      </c>
    </row>
    <row r="110" spans="1:14" x14ac:dyDescent="0.15">
      <c r="A110" s="131" t="s">
        <v>416</v>
      </c>
      <c r="B110" s="105" t="s">
        <v>873</v>
      </c>
      <c r="C110" s="32" t="s">
        <v>736</v>
      </c>
      <c r="D110" s="33">
        <v>6240</v>
      </c>
      <c r="E110" s="33">
        <v>0</v>
      </c>
      <c r="F110" s="33">
        <v>0</v>
      </c>
      <c r="G110" s="33">
        <v>6240</v>
      </c>
      <c r="H110" s="33">
        <v>5359</v>
      </c>
      <c r="I110" s="33">
        <v>0</v>
      </c>
      <c r="J110" s="33">
        <v>0</v>
      </c>
      <c r="K110" s="133">
        <v>5359</v>
      </c>
      <c r="L110" s="147">
        <f t="shared" si="6"/>
        <v>0.85881410256410251</v>
      </c>
      <c r="M110" s="147">
        <f t="shared" si="7"/>
        <v>0.85881410256410251</v>
      </c>
      <c r="N110" s="3" t="str">
        <f>_xlfn.XLOOKUP(AE[[#This Row],[Code]], 'System Mapping'!$A:$A, 'System Mapping'!$D:$D, "Not Found")</f>
        <v>NHS Cheshire And Merseyside Integrated Care Board</v>
      </c>
    </row>
    <row r="111" spans="1:14" x14ac:dyDescent="0.15">
      <c r="A111" s="131" t="s">
        <v>485</v>
      </c>
      <c r="B111" s="105" t="s">
        <v>873</v>
      </c>
      <c r="C111" s="32" t="s">
        <v>486</v>
      </c>
      <c r="D111" s="33">
        <v>9133</v>
      </c>
      <c r="E111" s="33">
        <v>0</v>
      </c>
      <c r="F111" s="33">
        <v>10139</v>
      </c>
      <c r="G111" s="33">
        <v>19272</v>
      </c>
      <c r="H111" s="33">
        <v>4619</v>
      </c>
      <c r="I111" s="33">
        <v>0</v>
      </c>
      <c r="J111" s="33">
        <v>10023</v>
      </c>
      <c r="K111" s="133">
        <v>14642</v>
      </c>
      <c r="L111" s="147">
        <f t="shared" si="6"/>
        <v>0.75975508509755085</v>
      </c>
      <c r="M111" s="147">
        <f t="shared" si="7"/>
        <v>0.50574838497755392</v>
      </c>
      <c r="N111" s="3" t="str">
        <f>_xlfn.XLOOKUP(AE[[#This Row],[Code]], 'System Mapping'!$A:$A, 'System Mapping'!$D:$D, "Not Found")</f>
        <v>NHS Lancashire And South Cumbria Integrated Care Board</v>
      </c>
    </row>
    <row r="112" spans="1:14" x14ac:dyDescent="0.15">
      <c r="A112" s="131" t="s">
        <v>463</v>
      </c>
      <c r="B112" s="105" t="s">
        <v>873</v>
      </c>
      <c r="C112" s="32" t="s">
        <v>464</v>
      </c>
      <c r="D112" s="33">
        <v>8873</v>
      </c>
      <c r="E112" s="33">
        <v>0</v>
      </c>
      <c r="F112" s="33">
        <v>3726</v>
      </c>
      <c r="G112" s="33">
        <v>12599</v>
      </c>
      <c r="H112" s="33">
        <v>4554</v>
      </c>
      <c r="I112" s="33">
        <v>0</v>
      </c>
      <c r="J112" s="33">
        <v>3426</v>
      </c>
      <c r="K112" s="133">
        <v>7980</v>
      </c>
      <c r="L112" s="147">
        <f t="shared" si="6"/>
        <v>0.63338360187316456</v>
      </c>
      <c r="M112" s="147">
        <f t="shared" si="7"/>
        <v>0.51324242082722871</v>
      </c>
      <c r="N112" s="3" t="str">
        <f>_xlfn.XLOOKUP(AE[[#This Row],[Code]], 'System Mapping'!$A:$A, 'System Mapping'!$D:$D, "Not Found")</f>
        <v>NHS Greater Manchester Integrated Care Board</v>
      </c>
    </row>
    <row r="113" spans="1:14" x14ac:dyDescent="0.15">
      <c r="A113" s="131" t="s">
        <v>417</v>
      </c>
      <c r="B113" s="105" t="s">
        <v>873</v>
      </c>
      <c r="C113" s="32" t="s">
        <v>737</v>
      </c>
      <c r="D113" s="33">
        <v>5968</v>
      </c>
      <c r="E113" s="33">
        <v>0</v>
      </c>
      <c r="F113" s="33">
        <v>2708</v>
      </c>
      <c r="G113" s="33">
        <v>8676</v>
      </c>
      <c r="H113" s="33">
        <v>3004</v>
      </c>
      <c r="I113" s="33">
        <v>0</v>
      </c>
      <c r="J113" s="33">
        <v>2362</v>
      </c>
      <c r="K113" s="133">
        <v>5366</v>
      </c>
      <c r="L113" s="147">
        <f t="shared" si="6"/>
        <v>0.61848778238819735</v>
      </c>
      <c r="M113" s="147">
        <f t="shared" si="7"/>
        <v>0.5033512064343163</v>
      </c>
      <c r="N113" s="3" t="str">
        <f>_xlfn.XLOOKUP(AE[[#This Row],[Code]], 'System Mapping'!$A:$A, 'System Mapping'!$D:$D, "Not Found")</f>
        <v>NHS Cheshire And Merseyside Integrated Care Board</v>
      </c>
    </row>
    <row r="114" spans="1:14" x14ac:dyDescent="0.15">
      <c r="A114" s="131" t="s">
        <v>418</v>
      </c>
      <c r="B114" s="105" t="s">
        <v>873</v>
      </c>
      <c r="C114" s="32" t="s">
        <v>419</v>
      </c>
      <c r="D114" s="33">
        <v>4753</v>
      </c>
      <c r="E114" s="33">
        <v>0</v>
      </c>
      <c r="F114" s="33">
        <v>58</v>
      </c>
      <c r="G114" s="33">
        <v>4811</v>
      </c>
      <c r="H114" s="33">
        <v>2340</v>
      </c>
      <c r="I114" s="33">
        <v>0</v>
      </c>
      <c r="J114" s="33">
        <v>58</v>
      </c>
      <c r="K114" s="133">
        <v>2398</v>
      </c>
      <c r="L114" s="147">
        <f t="shared" si="6"/>
        <v>0.49844107254209102</v>
      </c>
      <c r="M114" s="147">
        <f t="shared" si="7"/>
        <v>0.49232063959604461</v>
      </c>
      <c r="N114" s="3" t="str">
        <f>_xlfn.XLOOKUP(AE[[#This Row],[Code]], 'System Mapping'!$A:$A, 'System Mapping'!$D:$D, "Not Found")</f>
        <v>NHS Cheshire And Merseyside Integrated Care Board</v>
      </c>
    </row>
    <row r="115" spans="1:14" x14ac:dyDescent="0.15">
      <c r="A115" s="131" t="s">
        <v>487</v>
      </c>
      <c r="B115" s="105" t="s">
        <v>873</v>
      </c>
      <c r="C115" s="32" t="s">
        <v>488</v>
      </c>
      <c r="D115" s="33">
        <v>13927</v>
      </c>
      <c r="E115" s="33">
        <v>0</v>
      </c>
      <c r="F115" s="33">
        <v>11315</v>
      </c>
      <c r="G115" s="33">
        <v>25242</v>
      </c>
      <c r="H115" s="33">
        <v>8708</v>
      </c>
      <c r="I115" s="33">
        <v>0</v>
      </c>
      <c r="J115" s="33">
        <v>10380</v>
      </c>
      <c r="K115" s="133">
        <v>19088</v>
      </c>
      <c r="L115" s="147">
        <f t="shared" si="6"/>
        <v>0.75619998415339518</v>
      </c>
      <c r="M115" s="147">
        <f t="shared" si="7"/>
        <v>0.62526028577583115</v>
      </c>
      <c r="N115" s="3" t="str">
        <f>_xlfn.XLOOKUP(AE[[#This Row],[Code]], 'System Mapping'!$A:$A, 'System Mapping'!$D:$D, "Not Found")</f>
        <v>NHS Lancashire And South Cumbria Integrated Care Board</v>
      </c>
    </row>
    <row r="116" spans="1:14" x14ac:dyDescent="0.15">
      <c r="A116" s="131" t="s">
        <v>489</v>
      </c>
      <c r="B116" s="105" t="s">
        <v>873</v>
      </c>
      <c r="C116" s="32" t="s">
        <v>490</v>
      </c>
      <c r="D116" s="33">
        <v>13030</v>
      </c>
      <c r="E116" s="33">
        <v>0</v>
      </c>
      <c r="F116" s="33">
        <v>3385</v>
      </c>
      <c r="G116" s="33">
        <v>16415</v>
      </c>
      <c r="H116" s="33">
        <v>8827</v>
      </c>
      <c r="I116" s="33">
        <v>0</v>
      </c>
      <c r="J116" s="33">
        <v>3148</v>
      </c>
      <c r="K116" s="133">
        <v>11975</v>
      </c>
      <c r="L116" s="147">
        <f t="shared" si="6"/>
        <v>0.7295156868717636</v>
      </c>
      <c r="M116" s="147">
        <f t="shared" si="7"/>
        <v>0.67743668457405981</v>
      </c>
      <c r="N116" s="3" t="str">
        <f>_xlfn.XLOOKUP(AE[[#This Row],[Code]], 'System Mapping'!$A:$A, 'System Mapping'!$D:$D, "Not Found")</f>
        <v>NHS Lancashire And South Cumbria Integrated Care Board</v>
      </c>
    </row>
    <row r="117" spans="1:14" x14ac:dyDescent="0.15">
      <c r="A117" s="131" t="s">
        <v>422</v>
      </c>
      <c r="B117" s="105" t="s">
        <v>873</v>
      </c>
      <c r="C117" s="32" t="s">
        <v>822</v>
      </c>
      <c r="D117" s="33">
        <v>0</v>
      </c>
      <c r="E117" s="33">
        <v>0</v>
      </c>
      <c r="F117" s="33">
        <v>0</v>
      </c>
      <c r="G117" s="33">
        <v>0</v>
      </c>
      <c r="H117" s="33">
        <v>0</v>
      </c>
      <c r="I117" s="33">
        <v>0</v>
      </c>
      <c r="J117" s="33">
        <v>0</v>
      </c>
      <c r="K117" s="133">
        <v>0</v>
      </c>
      <c r="L117" s="147" t="str">
        <f t="shared" si="6"/>
        <v>Missing Data</v>
      </c>
      <c r="M117" s="147" t="str">
        <f t="shared" si="7"/>
        <v/>
      </c>
      <c r="N117" s="3" t="str">
        <f>_xlfn.XLOOKUP(AE[[#This Row],[Code]], 'System Mapping'!$A:$A, 'System Mapping'!$D:$D, "Not Found")</f>
        <v>NHS Cheshire And Merseyside Integrated Care Board</v>
      </c>
    </row>
    <row r="118" spans="1:14" x14ac:dyDescent="0.15">
      <c r="A118" s="131" t="s">
        <v>429</v>
      </c>
      <c r="B118" s="105" t="s">
        <v>873</v>
      </c>
      <c r="C118" s="32" t="s">
        <v>430</v>
      </c>
      <c r="D118" s="33">
        <v>17475</v>
      </c>
      <c r="E118" s="33">
        <v>1989</v>
      </c>
      <c r="F118" s="33">
        <v>8689</v>
      </c>
      <c r="G118" s="33">
        <v>28153</v>
      </c>
      <c r="H118" s="33">
        <v>8384</v>
      </c>
      <c r="I118" s="33">
        <v>1974</v>
      </c>
      <c r="J118" s="33">
        <v>8407</v>
      </c>
      <c r="K118" s="133">
        <v>18765</v>
      </c>
      <c r="L118" s="147">
        <f t="shared" si="6"/>
        <v>0.66653642595815721</v>
      </c>
      <c r="M118" s="147">
        <f t="shared" si="7"/>
        <v>0.47977110157367669</v>
      </c>
      <c r="N118" s="3" t="str">
        <f>_xlfn.XLOOKUP(AE[[#This Row],[Code]], 'System Mapping'!$A:$A, 'System Mapping'!$D:$D, "Not Found")</f>
        <v>NHS Cheshire And Merseyside Integrated Care Board</v>
      </c>
    </row>
    <row r="119" spans="1:14" x14ac:dyDescent="0.15">
      <c r="A119" s="131" t="s">
        <v>423</v>
      </c>
      <c r="B119" s="105" t="s">
        <v>873</v>
      </c>
      <c r="C119" s="32" t="s">
        <v>738</v>
      </c>
      <c r="D119" s="33">
        <v>0</v>
      </c>
      <c r="E119" s="33">
        <v>1654</v>
      </c>
      <c r="F119" s="33">
        <v>0</v>
      </c>
      <c r="G119" s="33">
        <v>1654</v>
      </c>
      <c r="H119" s="33">
        <v>0</v>
      </c>
      <c r="I119" s="33">
        <v>1466</v>
      </c>
      <c r="J119" s="33">
        <v>0</v>
      </c>
      <c r="K119" s="133">
        <v>1466</v>
      </c>
      <c r="L119" s="147">
        <f t="shared" si="6"/>
        <v>0.8863361547762999</v>
      </c>
      <c r="M119" s="147" t="str">
        <f t="shared" si="7"/>
        <v/>
      </c>
      <c r="N119" s="3" t="str">
        <f>_xlfn.XLOOKUP(AE[[#This Row],[Code]], 'System Mapping'!$A:$A, 'System Mapping'!$D:$D, "Not Found")</f>
        <v>NHS Cheshire And Merseyside Integrated Care Board</v>
      </c>
    </row>
    <row r="120" spans="1:14" x14ac:dyDescent="0.15">
      <c r="A120" s="131" t="s">
        <v>469</v>
      </c>
      <c r="B120" s="105" t="s">
        <v>873</v>
      </c>
      <c r="C120" s="32" t="s">
        <v>470</v>
      </c>
      <c r="D120" s="33">
        <v>31246</v>
      </c>
      <c r="E120" s="33">
        <v>3914</v>
      </c>
      <c r="F120" s="33">
        <v>12346</v>
      </c>
      <c r="G120" s="33">
        <v>47506</v>
      </c>
      <c r="H120" s="33">
        <v>18513</v>
      </c>
      <c r="I120" s="33">
        <v>3566</v>
      </c>
      <c r="J120" s="33">
        <v>11967</v>
      </c>
      <c r="K120" s="133">
        <v>34046</v>
      </c>
      <c r="L120" s="147">
        <f t="shared" si="6"/>
        <v>0.71666736833242117</v>
      </c>
      <c r="M120" s="147">
        <f t="shared" si="7"/>
        <v>0.59249183895538626</v>
      </c>
      <c r="N120" s="3" t="str">
        <f>_xlfn.XLOOKUP(AE[[#This Row],[Code]], 'System Mapping'!$A:$A, 'System Mapping'!$D:$D, "Not Found")</f>
        <v>NHS Greater Manchester Integrated Care Board</v>
      </c>
    </row>
    <row r="121" spans="1:14" x14ac:dyDescent="0.15">
      <c r="A121" s="131" t="s">
        <v>433</v>
      </c>
      <c r="B121" s="105" t="s">
        <v>873</v>
      </c>
      <c r="C121" s="32" t="s">
        <v>434</v>
      </c>
      <c r="D121" s="33">
        <v>18040</v>
      </c>
      <c r="E121" s="33">
        <v>0</v>
      </c>
      <c r="F121" s="33">
        <v>7335</v>
      </c>
      <c r="G121" s="33">
        <v>25375</v>
      </c>
      <c r="H121" s="33">
        <v>11330</v>
      </c>
      <c r="I121" s="33">
        <v>0</v>
      </c>
      <c r="J121" s="33">
        <v>7277</v>
      </c>
      <c r="K121" s="133">
        <v>18607</v>
      </c>
      <c r="L121" s="147">
        <f t="shared" si="6"/>
        <v>0.73328078817733988</v>
      </c>
      <c r="M121" s="147">
        <f t="shared" si="7"/>
        <v>0.62804878048780488</v>
      </c>
      <c r="N121" s="3" t="str">
        <f>_xlfn.XLOOKUP(AE[[#This Row],[Code]], 'System Mapping'!$A:$A, 'System Mapping'!$D:$D, "Not Found")</f>
        <v>NHS Cheshire And Merseyside Integrated Care Board</v>
      </c>
    </row>
    <row r="122" spans="1:14" x14ac:dyDescent="0.15">
      <c r="A122" s="131" t="s">
        <v>424</v>
      </c>
      <c r="B122" s="105" t="s">
        <v>873</v>
      </c>
      <c r="C122" s="32" t="s">
        <v>425</v>
      </c>
      <c r="D122" s="33">
        <v>0</v>
      </c>
      <c r="E122" s="33">
        <v>0</v>
      </c>
      <c r="F122" s="33">
        <v>14415</v>
      </c>
      <c r="G122" s="33">
        <v>14415</v>
      </c>
      <c r="H122" s="33">
        <v>0</v>
      </c>
      <c r="I122" s="33">
        <v>0</v>
      </c>
      <c r="J122" s="33">
        <v>14122</v>
      </c>
      <c r="K122" s="133">
        <v>14122</v>
      </c>
      <c r="L122" s="147">
        <f t="shared" si="6"/>
        <v>0.97967395074575092</v>
      </c>
      <c r="M122" s="147" t="str">
        <f t="shared" si="7"/>
        <v/>
      </c>
      <c r="N122" s="3" t="str">
        <f>_xlfn.XLOOKUP(AE[[#This Row],[Code]], 'System Mapping'!$A:$A, 'System Mapping'!$D:$D, "Not Found")</f>
        <v>NHS Cheshire And Merseyside Integrated Care Board</v>
      </c>
    </row>
    <row r="123" spans="1:14" x14ac:dyDescent="0.15">
      <c r="A123" s="131" t="s">
        <v>426</v>
      </c>
      <c r="B123" s="105" t="s">
        <v>873</v>
      </c>
      <c r="C123" s="32" t="s">
        <v>427</v>
      </c>
      <c r="D123" s="33">
        <v>7353</v>
      </c>
      <c r="E123" s="33">
        <v>0</v>
      </c>
      <c r="F123" s="33">
        <v>3319</v>
      </c>
      <c r="G123" s="33">
        <v>10672</v>
      </c>
      <c r="H123" s="33">
        <v>3657</v>
      </c>
      <c r="I123" s="33">
        <v>0</v>
      </c>
      <c r="J123" s="33">
        <v>3297</v>
      </c>
      <c r="K123" s="133">
        <v>6954</v>
      </c>
      <c r="L123" s="147">
        <f t="shared" si="6"/>
        <v>0.65161169415292353</v>
      </c>
      <c r="M123" s="147">
        <f t="shared" si="7"/>
        <v>0.49734802121583027</v>
      </c>
      <c r="N123" s="3" t="str">
        <f>_xlfn.XLOOKUP(AE[[#This Row],[Code]], 'System Mapping'!$A:$A, 'System Mapping'!$D:$D, "Not Found")</f>
        <v>NHS Cheshire And Merseyside Integrated Care Board</v>
      </c>
    </row>
    <row r="124" spans="1:14" x14ac:dyDescent="0.15">
      <c r="A124" s="131" t="s">
        <v>428</v>
      </c>
      <c r="B124" s="105" t="s">
        <v>873</v>
      </c>
      <c r="C124" s="32" t="s">
        <v>823</v>
      </c>
      <c r="D124" s="33">
        <v>0</v>
      </c>
      <c r="E124" s="33">
        <v>0</v>
      </c>
      <c r="F124" s="33">
        <v>1662</v>
      </c>
      <c r="G124" s="33">
        <v>1662</v>
      </c>
      <c r="H124" s="33">
        <v>0</v>
      </c>
      <c r="I124" s="33">
        <v>0</v>
      </c>
      <c r="J124" s="33">
        <v>1662</v>
      </c>
      <c r="K124" s="133">
        <v>1662</v>
      </c>
      <c r="L124" s="147">
        <f t="shared" si="6"/>
        <v>1</v>
      </c>
      <c r="M124" s="147" t="str">
        <f t="shared" si="7"/>
        <v/>
      </c>
      <c r="N124" s="3" t="str">
        <f>_xlfn.XLOOKUP(AE[[#This Row],[Code]], 'System Mapping'!$A:$A, 'System Mapping'!$D:$D, "Not Found")</f>
        <v>NHS Cheshire And Merseyside Integrated Care Board</v>
      </c>
    </row>
    <row r="125" spans="1:14" x14ac:dyDescent="0.15">
      <c r="A125" s="131" t="s">
        <v>437</v>
      </c>
      <c r="B125" s="105" t="s">
        <v>873</v>
      </c>
      <c r="C125" s="32" t="s">
        <v>866</v>
      </c>
      <c r="D125" s="33">
        <v>7511</v>
      </c>
      <c r="E125" s="33">
        <v>0</v>
      </c>
      <c r="F125" s="33">
        <v>6530</v>
      </c>
      <c r="G125" s="33">
        <v>14041</v>
      </c>
      <c r="H125" s="33">
        <v>4125</v>
      </c>
      <c r="I125" s="33">
        <v>0</v>
      </c>
      <c r="J125" s="33">
        <v>6429</v>
      </c>
      <c r="K125" s="133">
        <v>10554</v>
      </c>
      <c r="L125" s="147">
        <f t="shared" si="6"/>
        <v>0.75165586496688275</v>
      </c>
      <c r="M125" s="147">
        <f t="shared" si="7"/>
        <v>0.54919451471175607</v>
      </c>
      <c r="N125" s="3" t="str">
        <f>_xlfn.XLOOKUP(AE[[#This Row],[Code]], 'System Mapping'!$A:$A, 'System Mapping'!$D:$D, "Not Found")</f>
        <v>NHS Cheshire And Merseyside Integrated Care Board</v>
      </c>
    </row>
    <row r="126" spans="1:14" x14ac:dyDescent="0.15">
      <c r="A126" s="131" t="s">
        <v>475</v>
      </c>
      <c r="B126" s="105" t="s">
        <v>873</v>
      </c>
      <c r="C126" s="32" t="s">
        <v>739</v>
      </c>
      <c r="D126" s="33">
        <v>27197</v>
      </c>
      <c r="E126" s="33">
        <v>0</v>
      </c>
      <c r="F126" s="33">
        <v>9021</v>
      </c>
      <c r="G126" s="33">
        <v>36218</v>
      </c>
      <c r="H126" s="33">
        <v>16734</v>
      </c>
      <c r="I126" s="33">
        <v>0</v>
      </c>
      <c r="J126" s="33">
        <v>8630</v>
      </c>
      <c r="K126" s="133">
        <v>25364</v>
      </c>
      <c r="L126" s="147">
        <f t="shared" si="6"/>
        <v>0.70031476061626818</v>
      </c>
      <c r="M126" s="147">
        <f t="shared" si="7"/>
        <v>0.61528845093208806</v>
      </c>
      <c r="N126" s="3" t="str">
        <f>_xlfn.XLOOKUP(AE[[#This Row],[Code]], 'System Mapping'!$A:$A, 'System Mapping'!$D:$D, "Not Found")</f>
        <v>NHS Greater Manchester Integrated Care Board</v>
      </c>
    </row>
    <row r="127" spans="1:14" x14ac:dyDescent="0.15">
      <c r="A127" s="131" t="s">
        <v>491</v>
      </c>
      <c r="B127" s="105" t="s">
        <v>873</v>
      </c>
      <c r="C127" s="32" t="s">
        <v>826</v>
      </c>
      <c r="D127" s="33">
        <v>0</v>
      </c>
      <c r="E127" s="33">
        <v>0</v>
      </c>
      <c r="F127" s="33">
        <v>1040</v>
      </c>
      <c r="G127" s="33">
        <v>1040</v>
      </c>
      <c r="H127" s="33">
        <v>0</v>
      </c>
      <c r="I127" s="33">
        <v>0</v>
      </c>
      <c r="J127" s="33">
        <v>1036</v>
      </c>
      <c r="K127" s="133">
        <v>1036</v>
      </c>
      <c r="L127" s="147">
        <f t="shared" si="6"/>
        <v>0.99615384615384617</v>
      </c>
      <c r="M127" s="147" t="str">
        <f t="shared" si="7"/>
        <v/>
      </c>
      <c r="N127" s="3" t="str">
        <f>_xlfn.XLOOKUP(AE[[#This Row],[Code]], 'System Mapping'!$A:$A, 'System Mapping'!$D:$D, "Not Found")</f>
        <v>NHS Lancashire And South Cumbria Integrated Care Board</v>
      </c>
    </row>
    <row r="128" spans="1:14" x14ac:dyDescent="0.15">
      <c r="A128" s="131" t="s">
        <v>493</v>
      </c>
      <c r="B128" s="105" t="s">
        <v>873</v>
      </c>
      <c r="C128" s="32" t="s">
        <v>494</v>
      </c>
      <c r="D128" s="33">
        <v>0</v>
      </c>
      <c r="E128" s="33">
        <v>0</v>
      </c>
      <c r="F128" s="33">
        <v>1633</v>
      </c>
      <c r="G128" s="33">
        <v>1633</v>
      </c>
      <c r="H128" s="33">
        <v>0</v>
      </c>
      <c r="I128" s="33">
        <v>0</v>
      </c>
      <c r="J128" s="33">
        <v>1620</v>
      </c>
      <c r="K128" s="133">
        <v>1620</v>
      </c>
      <c r="L128" s="147">
        <f t="shared" si="6"/>
        <v>0.99203919167176979</v>
      </c>
      <c r="M128" s="147" t="str">
        <f t="shared" si="7"/>
        <v/>
      </c>
      <c r="N128" s="3" t="str">
        <f>_xlfn.XLOOKUP(AE[[#This Row],[Code]], 'System Mapping'!$A:$A, 'System Mapping'!$D:$D, "Not Found")</f>
        <v>NHS Lancashire And South Cumbria Integrated Care Board</v>
      </c>
    </row>
    <row r="129" spans="1:14" x14ac:dyDescent="0.15">
      <c r="A129" s="131" t="s">
        <v>477</v>
      </c>
      <c r="B129" s="105" t="s">
        <v>873</v>
      </c>
      <c r="C129" s="32" t="s">
        <v>478</v>
      </c>
      <c r="D129" s="33">
        <v>8875</v>
      </c>
      <c r="E129" s="33">
        <v>0</v>
      </c>
      <c r="F129" s="33">
        <v>2414</v>
      </c>
      <c r="G129" s="33">
        <v>11289</v>
      </c>
      <c r="H129" s="33">
        <v>5574</v>
      </c>
      <c r="I129" s="33">
        <v>0</v>
      </c>
      <c r="J129" s="33">
        <v>2353</v>
      </c>
      <c r="K129" s="133">
        <v>7927</v>
      </c>
      <c r="L129" s="147">
        <f t="shared" si="6"/>
        <v>0.70218797059084059</v>
      </c>
      <c r="M129" s="147">
        <f t="shared" si="7"/>
        <v>0.62805633802816896</v>
      </c>
      <c r="N129" s="3" t="str">
        <f>_xlfn.XLOOKUP(AE[[#This Row],[Code]], 'System Mapping'!$A:$A, 'System Mapping'!$D:$D, "Not Found")</f>
        <v>NHS Greater Manchester Integrated Care Board</v>
      </c>
    </row>
    <row r="130" spans="1:14" x14ac:dyDescent="0.15">
      <c r="A130" s="131" t="s">
        <v>479</v>
      </c>
      <c r="B130" s="105" t="s">
        <v>873</v>
      </c>
      <c r="C130" s="32" t="s">
        <v>741</v>
      </c>
      <c r="D130" s="33">
        <v>9548</v>
      </c>
      <c r="E130" s="33">
        <v>0</v>
      </c>
      <c r="F130" s="33">
        <v>2419</v>
      </c>
      <c r="G130" s="33">
        <v>11967</v>
      </c>
      <c r="H130" s="33">
        <v>4801</v>
      </c>
      <c r="I130" s="33">
        <v>0</v>
      </c>
      <c r="J130" s="33">
        <v>2380</v>
      </c>
      <c r="K130" s="133">
        <v>7181</v>
      </c>
      <c r="L130" s="147">
        <f t="shared" ref="L130:L161" si="8">IFERROR(K130/G130, "Missing Data")</f>
        <v>0.60006685050555697</v>
      </c>
      <c r="M130" s="147">
        <f t="shared" ref="M130:M161" si="9">IFERROR(IF(D130=0,"",H130/D130), "Missing Data")</f>
        <v>0.50282781734394633</v>
      </c>
      <c r="N130" s="3" t="str">
        <f>_xlfn.XLOOKUP(AE[[#This Row],[Code]], 'System Mapping'!$A:$A, 'System Mapping'!$D:$D, "Not Found")</f>
        <v>NHS Greater Manchester Integrated Care Board</v>
      </c>
    </row>
    <row r="131" spans="1:14" x14ac:dyDescent="0.15">
      <c r="A131" s="131" t="s">
        <v>480</v>
      </c>
      <c r="B131" s="105" t="s">
        <v>873</v>
      </c>
      <c r="C131" s="32" t="s">
        <v>481</v>
      </c>
      <c r="D131" s="33">
        <v>0</v>
      </c>
      <c r="E131" s="33">
        <v>0</v>
      </c>
      <c r="F131" s="33">
        <v>0</v>
      </c>
      <c r="G131" s="33">
        <v>0</v>
      </c>
      <c r="H131" s="33">
        <v>0</v>
      </c>
      <c r="I131" s="33">
        <v>0</v>
      </c>
      <c r="J131" s="33">
        <v>0</v>
      </c>
      <c r="K131" s="133">
        <v>0</v>
      </c>
      <c r="L131" s="147" t="str">
        <f t="shared" si="8"/>
        <v>Missing Data</v>
      </c>
      <c r="M131" s="147" t="str">
        <f t="shared" si="9"/>
        <v/>
      </c>
      <c r="N131" s="3" t="str">
        <f>_xlfn.XLOOKUP(AE[[#This Row],[Code]], 'System Mapping'!$A:$A, 'System Mapping'!$D:$D, "Not Found")</f>
        <v>NHS Greater Manchester Integrated Care Board</v>
      </c>
    </row>
    <row r="132" spans="1:14" x14ac:dyDescent="0.15">
      <c r="A132" s="131" t="s">
        <v>435</v>
      </c>
      <c r="B132" s="105" t="s">
        <v>873</v>
      </c>
      <c r="C132" s="32" t="s">
        <v>436</v>
      </c>
      <c r="D132" s="33">
        <v>0</v>
      </c>
      <c r="E132" s="33">
        <v>0</v>
      </c>
      <c r="F132" s="33">
        <v>0</v>
      </c>
      <c r="G132" s="33">
        <v>0</v>
      </c>
      <c r="H132" s="33">
        <v>0</v>
      </c>
      <c r="I132" s="33">
        <v>0</v>
      </c>
      <c r="J132" s="33">
        <v>0</v>
      </c>
      <c r="K132" s="133">
        <v>0</v>
      </c>
      <c r="L132" s="147" t="str">
        <f t="shared" si="8"/>
        <v>Missing Data</v>
      </c>
      <c r="M132" s="147" t="str">
        <f t="shared" si="9"/>
        <v/>
      </c>
      <c r="N132" s="3" t="str">
        <f>_xlfn.XLOOKUP(AE[[#This Row],[Code]], 'System Mapping'!$A:$A, 'System Mapping'!$D:$D, "Not Found")</f>
        <v>NHS Cheshire And Merseyside Integrated Care Board</v>
      </c>
    </row>
    <row r="133" spans="1:14" x14ac:dyDescent="0.15">
      <c r="A133" s="131" t="s">
        <v>495</v>
      </c>
      <c r="B133" s="105" t="s">
        <v>873</v>
      </c>
      <c r="C133" s="32" t="s">
        <v>742</v>
      </c>
      <c r="D133" s="33">
        <v>9076</v>
      </c>
      <c r="E133" s="33">
        <v>0</v>
      </c>
      <c r="F133" s="33">
        <v>4957</v>
      </c>
      <c r="G133" s="33">
        <v>14033</v>
      </c>
      <c r="H133" s="33">
        <v>5468</v>
      </c>
      <c r="I133" s="33">
        <v>0</v>
      </c>
      <c r="J133" s="33">
        <v>4841</v>
      </c>
      <c r="K133" s="133">
        <v>10309</v>
      </c>
      <c r="L133" s="147">
        <f t="shared" si="8"/>
        <v>0.73462552554692506</v>
      </c>
      <c r="M133" s="147">
        <f t="shared" si="9"/>
        <v>0.60246804759806083</v>
      </c>
      <c r="N133" s="3" t="str">
        <f>_xlfn.XLOOKUP(AE[[#This Row],[Code]], 'System Mapping'!$A:$A, 'System Mapping'!$D:$D, "Not Found")</f>
        <v>NHS Lancashire And South Cumbria Integrated Care Board</v>
      </c>
    </row>
    <row r="134" spans="1:14" x14ac:dyDescent="0.15">
      <c r="A134" s="131" t="s">
        <v>438</v>
      </c>
      <c r="B134" s="105" t="s">
        <v>873</v>
      </c>
      <c r="C134" s="32" t="s">
        <v>824</v>
      </c>
      <c r="D134" s="33">
        <v>0</v>
      </c>
      <c r="E134" s="33">
        <v>0</v>
      </c>
      <c r="F134" s="33">
        <v>3605</v>
      </c>
      <c r="G134" s="33">
        <v>3605</v>
      </c>
      <c r="H134" s="33">
        <v>0</v>
      </c>
      <c r="I134" s="33">
        <v>0</v>
      </c>
      <c r="J134" s="33">
        <v>3240</v>
      </c>
      <c r="K134" s="133">
        <v>3240</v>
      </c>
      <c r="L134" s="147">
        <f t="shared" si="8"/>
        <v>0.89875173370319006</v>
      </c>
      <c r="M134" s="147" t="str">
        <f t="shared" si="9"/>
        <v/>
      </c>
      <c r="N134" s="3" t="str">
        <f>_xlfn.XLOOKUP(AE[[#This Row],[Code]], 'System Mapping'!$A:$A, 'System Mapping'!$D:$D, "Not Found")</f>
        <v>NHS Cheshire And Merseyside Integrated Care Board</v>
      </c>
    </row>
    <row r="135" spans="1:14" x14ac:dyDescent="0.15">
      <c r="A135" s="131" t="s">
        <v>440</v>
      </c>
      <c r="B135" s="105" t="s">
        <v>873</v>
      </c>
      <c r="C135" s="32" t="s">
        <v>441</v>
      </c>
      <c r="D135" s="33">
        <v>8046</v>
      </c>
      <c r="E135" s="33">
        <v>0</v>
      </c>
      <c r="F135" s="33">
        <v>2623</v>
      </c>
      <c r="G135" s="33">
        <v>10669</v>
      </c>
      <c r="H135" s="33">
        <v>3494</v>
      </c>
      <c r="I135" s="33">
        <v>0</v>
      </c>
      <c r="J135" s="33">
        <v>2207</v>
      </c>
      <c r="K135" s="133">
        <v>5701</v>
      </c>
      <c r="L135" s="147">
        <f t="shared" si="8"/>
        <v>0.53435186053050898</v>
      </c>
      <c r="M135" s="147">
        <f t="shared" si="9"/>
        <v>0.43425304499130002</v>
      </c>
      <c r="N135" s="3" t="str">
        <f>_xlfn.XLOOKUP(AE[[#This Row],[Code]], 'System Mapping'!$A:$A, 'System Mapping'!$D:$D, "Not Found")</f>
        <v>NHS Cheshire And Merseyside Integrated Care Board</v>
      </c>
    </row>
    <row r="136" spans="1:14" x14ac:dyDescent="0.15">
      <c r="A136" s="131" t="s">
        <v>484</v>
      </c>
      <c r="B136" s="105" t="s">
        <v>873</v>
      </c>
      <c r="C136" s="32" t="s">
        <v>868</v>
      </c>
      <c r="D136" s="33">
        <v>7034</v>
      </c>
      <c r="E136" s="33">
        <v>0</v>
      </c>
      <c r="F136" s="33">
        <v>6080</v>
      </c>
      <c r="G136" s="33">
        <v>13114</v>
      </c>
      <c r="H136" s="33">
        <v>3056</v>
      </c>
      <c r="I136" s="33">
        <v>0</v>
      </c>
      <c r="J136" s="33">
        <v>5996</v>
      </c>
      <c r="K136" s="133">
        <v>9052</v>
      </c>
      <c r="L136" s="147">
        <f t="shared" si="8"/>
        <v>0.69025468964465453</v>
      </c>
      <c r="M136" s="147">
        <f t="shared" si="9"/>
        <v>0.43446118851293714</v>
      </c>
      <c r="N136" s="3" t="str">
        <f>_xlfn.XLOOKUP(AE[[#This Row],[Code]], 'System Mapping'!$A:$A, 'System Mapping'!$D:$D, "Not Found")</f>
        <v>NHS Greater Manchester Integrated Care Board</v>
      </c>
    </row>
    <row r="137" spans="1:14" x14ac:dyDescent="0.15">
      <c r="A137" s="131" t="s">
        <v>652</v>
      </c>
      <c r="B137" s="105" t="s">
        <v>870</v>
      </c>
      <c r="C137" s="32" t="s">
        <v>744</v>
      </c>
      <c r="D137" s="33">
        <v>8078</v>
      </c>
      <c r="E137" s="33">
        <v>0</v>
      </c>
      <c r="F137" s="33">
        <v>2683</v>
      </c>
      <c r="G137" s="33">
        <v>10761</v>
      </c>
      <c r="H137" s="33">
        <v>4690</v>
      </c>
      <c r="I137" s="33">
        <v>0</v>
      </c>
      <c r="J137" s="33">
        <v>2526</v>
      </c>
      <c r="K137" s="133">
        <v>7216</v>
      </c>
      <c r="L137" s="147">
        <f t="shared" si="8"/>
        <v>0.67056964966081223</v>
      </c>
      <c r="M137" s="147">
        <f t="shared" si="9"/>
        <v>0.58058925476603118</v>
      </c>
      <c r="N137" s="3" t="str">
        <f>_xlfn.XLOOKUP(AE[[#This Row],[Code]], 'System Mapping'!$A:$A, 'System Mapping'!$D:$D, "Not Found")</f>
        <v>NHS Surrey and Sussex Integrated Care Board</v>
      </c>
    </row>
    <row r="138" spans="1:14" x14ac:dyDescent="0.15">
      <c r="A138" s="131" t="s">
        <v>781</v>
      </c>
      <c r="B138" s="105" t="s">
        <v>870</v>
      </c>
      <c r="C138" s="32" t="s">
        <v>656</v>
      </c>
      <c r="D138" s="33">
        <v>0</v>
      </c>
      <c r="E138" s="33">
        <v>0</v>
      </c>
      <c r="F138" s="33">
        <v>2584</v>
      </c>
      <c r="G138" s="33">
        <v>2584</v>
      </c>
      <c r="H138" s="33">
        <v>0</v>
      </c>
      <c r="I138" s="33">
        <v>0</v>
      </c>
      <c r="J138" s="33">
        <v>2311</v>
      </c>
      <c r="K138" s="133">
        <v>2311</v>
      </c>
      <c r="L138" s="147">
        <f t="shared" si="8"/>
        <v>0.89434984520123839</v>
      </c>
      <c r="M138" s="147" t="str">
        <f t="shared" si="9"/>
        <v/>
      </c>
      <c r="N138" s="3" t="str">
        <f>_xlfn.XLOOKUP(AE[[#This Row],[Code]], 'System Mapping'!$A:$A, 'System Mapping'!$D:$D, "Not Found")</f>
        <v>NHS Surrey and Sussex Integrated Care Board</v>
      </c>
    </row>
    <row r="139" spans="1:14" x14ac:dyDescent="0.15">
      <c r="A139" s="131" t="s">
        <v>576</v>
      </c>
      <c r="B139" s="105" t="s">
        <v>870</v>
      </c>
      <c r="C139" s="32" t="s">
        <v>577</v>
      </c>
      <c r="D139" s="33">
        <v>0</v>
      </c>
      <c r="E139" s="33">
        <v>0</v>
      </c>
      <c r="F139" s="33">
        <v>1419</v>
      </c>
      <c r="G139" s="33">
        <v>1419</v>
      </c>
      <c r="H139" s="33">
        <v>0</v>
      </c>
      <c r="I139" s="33">
        <v>0</v>
      </c>
      <c r="J139" s="33">
        <v>1400</v>
      </c>
      <c r="K139" s="133">
        <v>1400</v>
      </c>
      <c r="L139" s="147">
        <f t="shared" si="8"/>
        <v>0.98661028893587033</v>
      </c>
      <c r="M139" s="147" t="str">
        <f t="shared" si="9"/>
        <v/>
      </c>
      <c r="N139" s="3" t="str">
        <f>_xlfn.XLOOKUP(AE[[#This Row],[Code]], 'System Mapping'!$A:$A, 'System Mapping'!$D:$D, "Not Found")</f>
        <v>NHS Thames Valley Integrated Care Board</v>
      </c>
    </row>
    <row r="140" spans="1:14" x14ac:dyDescent="0.15">
      <c r="A140" s="131" t="s">
        <v>668</v>
      </c>
      <c r="B140" s="105" t="s">
        <v>870</v>
      </c>
      <c r="C140" s="32" t="s">
        <v>837</v>
      </c>
      <c r="D140" s="33">
        <v>0</v>
      </c>
      <c r="E140" s="33">
        <v>0</v>
      </c>
      <c r="F140" s="33">
        <v>1969</v>
      </c>
      <c r="G140" s="33">
        <v>1969</v>
      </c>
      <c r="H140" s="33">
        <v>0</v>
      </c>
      <c r="I140" s="33">
        <v>0</v>
      </c>
      <c r="J140" s="33">
        <v>1969</v>
      </c>
      <c r="K140" s="133">
        <v>1969</v>
      </c>
      <c r="L140" s="147">
        <f t="shared" si="8"/>
        <v>1</v>
      </c>
      <c r="M140" s="147" t="str">
        <f t="shared" si="9"/>
        <v/>
      </c>
      <c r="N140" s="3" t="str">
        <f>_xlfn.XLOOKUP(AE[[#This Row],[Code]], 'System Mapping'!$A:$A, 'System Mapping'!$D:$D, "Not Found")</f>
        <v>NHS Surrey and Sussex Integrated Care Board</v>
      </c>
    </row>
    <row r="141" spans="1:14" x14ac:dyDescent="0.15">
      <c r="A141" s="131" t="s">
        <v>578</v>
      </c>
      <c r="B141" s="105" t="s">
        <v>870</v>
      </c>
      <c r="C141" s="32" t="s">
        <v>579</v>
      </c>
      <c r="D141" s="33">
        <v>9848</v>
      </c>
      <c r="E141" s="33">
        <v>1233</v>
      </c>
      <c r="F141" s="33">
        <v>3232</v>
      </c>
      <c r="G141" s="33">
        <v>14313</v>
      </c>
      <c r="H141" s="33">
        <v>6755</v>
      </c>
      <c r="I141" s="33">
        <v>1233</v>
      </c>
      <c r="J141" s="33">
        <v>3112</v>
      </c>
      <c r="K141" s="133">
        <v>11100</v>
      </c>
      <c r="L141" s="147">
        <f t="shared" si="8"/>
        <v>0.77551875916998536</v>
      </c>
      <c r="M141" s="147">
        <f t="shared" si="9"/>
        <v>0.68592607636068237</v>
      </c>
      <c r="N141" s="3" t="str">
        <f>_xlfn.XLOOKUP(AE[[#This Row],[Code]], 'System Mapping'!$A:$A, 'System Mapping'!$D:$D, "Not Found")</f>
        <v>NHS Thames Valley Integrated Care Board</v>
      </c>
    </row>
    <row r="142" spans="1:14" x14ac:dyDescent="0.15">
      <c r="A142" s="131" t="s">
        <v>639</v>
      </c>
      <c r="B142" s="105" t="s">
        <v>870</v>
      </c>
      <c r="C142" s="32" t="s">
        <v>745</v>
      </c>
      <c r="D142" s="33">
        <v>12375</v>
      </c>
      <c r="E142" s="33">
        <v>0</v>
      </c>
      <c r="F142" s="33">
        <v>4121</v>
      </c>
      <c r="G142" s="33">
        <v>16496</v>
      </c>
      <c r="H142" s="33">
        <v>9198</v>
      </c>
      <c r="I142" s="33">
        <v>0</v>
      </c>
      <c r="J142" s="33">
        <v>4023</v>
      </c>
      <c r="K142" s="133">
        <v>13221</v>
      </c>
      <c r="L142" s="147">
        <f t="shared" si="8"/>
        <v>0.80146702230843836</v>
      </c>
      <c r="M142" s="147">
        <f t="shared" si="9"/>
        <v>0.74327272727272731</v>
      </c>
      <c r="N142" s="3" t="str">
        <f>_xlfn.XLOOKUP(AE[[#This Row],[Code]], 'System Mapping'!$A:$A, 'System Mapping'!$D:$D, "Not Found")</f>
        <v>NHS Kent And Medway Integrated Care Board</v>
      </c>
    </row>
    <row r="143" spans="1:14" x14ac:dyDescent="0.15">
      <c r="A143" s="131" t="s">
        <v>641</v>
      </c>
      <c r="B143" s="105" t="s">
        <v>870</v>
      </c>
      <c r="C143" s="32" t="s">
        <v>642</v>
      </c>
      <c r="D143" s="33">
        <v>13689</v>
      </c>
      <c r="E143" s="33">
        <v>0</v>
      </c>
      <c r="F143" s="33">
        <v>13271</v>
      </c>
      <c r="G143" s="33">
        <v>26960</v>
      </c>
      <c r="H143" s="33">
        <v>6974</v>
      </c>
      <c r="I143" s="33">
        <v>0</v>
      </c>
      <c r="J143" s="33">
        <v>12457</v>
      </c>
      <c r="K143" s="133">
        <v>19431</v>
      </c>
      <c r="L143" s="147">
        <f t="shared" si="8"/>
        <v>0.72073442136498511</v>
      </c>
      <c r="M143" s="147">
        <f t="shared" si="9"/>
        <v>0.50946015048579152</v>
      </c>
      <c r="N143" s="3" t="str">
        <f>_xlfn.XLOOKUP(AE[[#This Row],[Code]], 'System Mapping'!$A:$A, 'System Mapping'!$D:$D, "Not Found")</f>
        <v>NHS Kent And Medway Integrated Care Board</v>
      </c>
    </row>
    <row r="144" spans="1:14" x14ac:dyDescent="0.15">
      <c r="A144" s="131" t="s">
        <v>669</v>
      </c>
      <c r="B144" s="105" t="s">
        <v>870</v>
      </c>
      <c r="C144" s="32" t="s">
        <v>670</v>
      </c>
      <c r="D144" s="33">
        <v>12359</v>
      </c>
      <c r="E144" s="33">
        <v>0</v>
      </c>
      <c r="F144" s="33">
        <v>3758</v>
      </c>
      <c r="G144" s="33">
        <v>16117</v>
      </c>
      <c r="H144" s="33">
        <v>8240</v>
      </c>
      <c r="I144" s="33">
        <v>0</v>
      </c>
      <c r="J144" s="33">
        <v>3710</v>
      </c>
      <c r="K144" s="133">
        <v>11950</v>
      </c>
      <c r="L144" s="147">
        <f t="shared" si="8"/>
        <v>0.74145312403052677</v>
      </c>
      <c r="M144" s="147">
        <f t="shared" si="9"/>
        <v>0.66672060846346792</v>
      </c>
      <c r="N144" s="3" t="str">
        <f>_xlfn.XLOOKUP(AE[[#This Row],[Code]], 'System Mapping'!$A:$A, 'System Mapping'!$D:$D, "Not Found")</f>
        <v>NHS Surrey and Sussex Integrated Care Board</v>
      </c>
    </row>
    <row r="145" spans="1:14" x14ac:dyDescent="0.15">
      <c r="A145" s="131" t="s">
        <v>797</v>
      </c>
      <c r="B145" s="105" t="s">
        <v>870</v>
      </c>
      <c r="C145" s="32" t="s">
        <v>854</v>
      </c>
      <c r="D145" s="33">
        <v>0</v>
      </c>
      <c r="E145" s="33">
        <v>0</v>
      </c>
      <c r="F145" s="33">
        <v>2784</v>
      </c>
      <c r="G145" s="33">
        <v>2784</v>
      </c>
      <c r="H145" s="33">
        <v>0</v>
      </c>
      <c r="I145" s="33">
        <v>0</v>
      </c>
      <c r="J145" s="33">
        <v>2784</v>
      </c>
      <c r="K145" s="133">
        <v>2784</v>
      </c>
      <c r="L145" s="147">
        <f t="shared" si="8"/>
        <v>1</v>
      </c>
      <c r="M145" s="147" t="str">
        <f t="shared" si="9"/>
        <v/>
      </c>
      <c r="N145" s="3" t="str">
        <f>_xlfn.XLOOKUP(AE[[#This Row],[Code]], 'System Mapping'!$A:$A, 'System Mapping'!$D:$D, "Not Found")</f>
        <v>NHS Kent And Medway Integrated Care Board</v>
      </c>
    </row>
    <row r="146" spans="1:14" x14ac:dyDescent="0.15">
      <c r="A146" s="131" t="s">
        <v>673</v>
      </c>
      <c r="B146" s="105" t="s">
        <v>870</v>
      </c>
      <c r="C146" s="32" t="s">
        <v>838</v>
      </c>
      <c r="D146" s="33">
        <v>0</v>
      </c>
      <c r="E146" s="33">
        <v>0</v>
      </c>
      <c r="F146" s="33">
        <v>2453</v>
      </c>
      <c r="G146" s="33">
        <v>2453</v>
      </c>
      <c r="H146" s="33">
        <v>0</v>
      </c>
      <c r="I146" s="33">
        <v>0</v>
      </c>
      <c r="J146" s="33">
        <v>2383</v>
      </c>
      <c r="K146" s="133">
        <v>2383</v>
      </c>
      <c r="L146" s="147">
        <f t="shared" si="8"/>
        <v>0.97146351406441089</v>
      </c>
      <c r="M146" s="147" t="str">
        <f t="shared" si="9"/>
        <v/>
      </c>
      <c r="N146" s="3" t="str">
        <f>_xlfn.XLOOKUP(AE[[#This Row],[Code]], 'System Mapping'!$A:$A, 'System Mapping'!$D:$D, "Not Found")</f>
        <v>NHS Surrey and Sussex Integrated Care Board</v>
      </c>
    </row>
    <row r="147" spans="1:14" x14ac:dyDescent="0.15">
      <c r="A147" s="131" t="s">
        <v>617</v>
      </c>
      <c r="B147" s="105" t="s">
        <v>870</v>
      </c>
      <c r="C147" s="32" t="s">
        <v>618</v>
      </c>
      <c r="D147" s="33">
        <v>23398</v>
      </c>
      <c r="E147" s="33">
        <v>944</v>
      </c>
      <c r="F147" s="33">
        <v>11567</v>
      </c>
      <c r="G147" s="33">
        <v>35909</v>
      </c>
      <c r="H147" s="33">
        <v>14648</v>
      </c>
      <c r="I147" s="33">
        <v>944</v>
      </c>
      <c r="J147" s="33">
        <v>11436</v>
      </c>
      <c r="K147" s="133">
        <v>27028</v>
      </c>
      <c r="L147" s="147">
        <f t="shared" si="8"/>
        <v>0.75268038653262415</v>
      </c>
      <c r="M147" s="147">
        <f t="shared" si="9"/>
        <v>0.626036413368664</v>
      </c>
      <c r="N147" s="3" t="str">
        <f>_xlfn.XLOOKUP(AE[[#This Row],[Code]], 'System Mapping'!$A:$A, 'System Mapping'!$D:$D, "Not Found")</f>
        <v>NHS Thames Valley Integrated Care Board</v>
      </c>
    </row>
    <row r="148" spans="1:14" x14ac:dyDescent="0.15">
      <c r="A148" s="131" t="s">
        <v>634</v>
      </c>
      <c r="B148" s="105" t="s">
        <v>870</v>
      </c>
      <c r="C148" s="32" t="s">
        <v>859</v>
      </c>
      <c r="D148" s="33">
        <v>0</v>
      </c>
      <c r="E148" s="33">
        <v>0</v>
      </c>
      <c r="F148" s="33">
        <v>2855</v>
      </c>
      <c r="G148" s="33">
        <v>2855</v>
      </c>
      <c r="H148" s="33">
        <v>0</v>
      </c>
      <c r="I148" s="33">
        <v>0</v>
      </c>
      <c r="J148" s="33">
        <v>2805</v>
      </c>
      <c r="K148" s="133">
        <v>2805</v>
      </c>
      <c r="L148" s="147">
        <f t="shared" si="8"/>
        <v>0.98248686514886163</v>
      </c>
      <c r="M148" s="147" t="str">
        <f t="shared" si="9"/>
        <v/>
      </c>
      <c r="N148" s="3" t="str">
        <f>_xlfn.XLOOKUP(AE[[#This Row],[Code]], 'System Mapping'!$A:$A, 'System Mapping'!$D:$D, "Not Found")</f>
        <v>NHS Hampshire And Isle Of Wight Integrated Care Board</v>
      </c>
    </row>
    <row r="149" spans="1:14" x14ac:dyDescent="0.15">
      <c r="A149" s="131" t="s">
        <v>625</v>
      </c>
      <c r="B149" s="105" t="s">
        <v>870</v>
      </c>
      <c r="C149" s="32" t="s">
        <v>626</v>
      </c>
      <c r="D149" s="33">
        <v>10050</v>
      </c>
      <c r="E149" s="33">
        <v>82</v>
      </c>
      <c r="F149" s="33">
        <v>4873</v>
      </c>
      <c r="G149" s="33">
        <v>15005</v>
      </c>
      <c r="H149" s="33">
        <v>4847</v>
      </c>
      <c r="I149" s="33">
        <v>82</v>
      </c>
      <c r="J149" s="33">
        <v>4450</v>
      </c>
      <c r="K149" s="133">
        <v>9379</v>
      </c>
      <c r="L149" s="147">
        <f t="shared" si="8"/>
        <v>0.62505831389536826</v>
      </c>
      <c r="M149" s="147">
        <f t="shared" si="9"/>
        <v>0.48228855721393032</v>
      </c>
      <c r="N149" s="3" t="str">
        <f>_xlfn.XLOOKUP(AE[[#This Row],[Code]], 'System Mapping'!$A:$A, 'System Mapping'!$D:$D, "Not Found")</f>
        <v>NHS Hampshire And Isle Of Wight Integrated Care Board</v>
      </c>
    </row>
    <row r="150" spans="1:14" x14ac:dyDescent="0.15">
      <c r="A150" s="131" t="s">
        <v>803</v>
      </c>
      <c r="B150" s="105" t="s">
        <v>870</v>
      </c>
      <c r="C150" s="32" t="s">
        <v>804</v>
      </c>
      <c r="D150" s="33">
        <v>0</v>
      </c>
      <c r="E150" s="33">
        <v>0</v>
      </c>
      <c r="F150" s="33">
        <v>901</v>
      </c>
      <c r="G150" s="33">
        <v>901</v>
      </c>
      <c r="H150" s="33">
        <v>0</v>
      </c>
      <c r="I150" s="33">
        <v>0</v>
      </c>
      <c r="J150" s="33">
        <v>901</v>
      </c>
      <c r="K150" s="133">
        <v>901</v>
      </c>
      <c r="L150" s="147">
        <f t="shared" si="8"/>
        <v>1</v>
      </c>
      <c r="M150" s="147" t="str">
        <f t="shared" si="9"/>
        <v/>
      </c>
      <c r="N150" s="3" t="str">
        <f>_xlfn.XLOOKUP(AE[[#This Row],[Code]], 'System Mapping'!$A:$A, 'System Mapping'!$D:$D, "Not Found")</f>
        <v>NHS Surrey and Sussex Integrated Care Board</v>
      </c>
    </row>
    <row r="151" spans="1:14" x14ac:dyDescent="0.15">
      <c r="A151" s="131" t="s">
        <v>801</v>
      </c>
      <c r="B151" s="105" t="s">
        <v>870</v>
      </c>
      <c r="C151" s="32" t="s">
        <v>802</v>
      </c>
      <c r="D151" s="33">
        <v>0</v>
      </c>
      <c r="E151" s="33">
        <v>0</v>
      </c>
      <c r="F151" s="33">
        <v>2779</v>
      </c>
      <c r="G151" s="33">
        <v>2779</v>
      </c>
      <c r="H151" s="33">
        <v>0</v>
      </c>
      <c r="I151" s="33">
        <v>0</v>
      </c>
      <c r="J151" s="33">
        <v>2779</v>
      </c>
      <c r="K151" s="133">
        <v>2779</v>
      </c>
      <c r="L151" s="147">
        <f t="shared" si="8"/>
        <v>1</v>
      </c>
      <c r="M151" s="147" t="str">
        <f t="shared" si="9"/>
        <v/>
      </c>
      <c r="N151" s="3" t="str">
        <f>_xlfn.XLOOKUP(AE[[#This Row],[Code]], 'System Mapping'!$A:$A, 'System Mapping'!$D:$D, "Not Found")</f>
        <v>NHS Kent And Medway Integrated Care Board</v>
      </c>
    </row>
    <row r="152" spans="1:14" x14ac:dyDescent="0.15">
      <c r="A152" s="131" t="s">
        <v>627</v>
      </c>
      <c r="B152" s="105" t="s">
        <v>870</v>
      </c>
      <c r="C152" s="32" t="s">
        <v>746</v>
      </c>
      <c r="D152" s="33">
        <v>4442</v>
      </c>
      <c r="E152" s="33">
        <v>230</v>
      </c>
      <c r="F152" s="33">
        <v>1741</v>
      </c>
      <c r="G152" s="33">
        <v>6413</v>
      </c>
      <c r="H152" s="33">
        <v>3195</v>
      </c>
      <c r="I152" s="33">
        <v>230</v>
      </c>
      <c r="J152" s="33">
        <v>1713</v>
      </c>
      <c r="K152" s="133">
        <v>5138</v>
      </c>
      <c r="L152" s="147">
        <f t="shared" si="8"/>
        <v>0.80118509278029004</v>
      </c>
      <c r="M152" s="147">
        <f t="shared" si="9"/>
        <v>0.71927059882935618</v>
      </c>
      <c r="N152" s="3" t="str">
        <f>_xlfn.XLOOKUP(AE[[#This Row],[Code]], 'System Mapping'!$A:$A, 'System Mapping'!$D:$D, "Not Found")</f>
        <v>NHS Hampshire And Isle Of Wight Integrated Care Board</v>
      </c>
    </row>
    <row r="153" spans="1:14" x14ac:dyDescent="0.15">
      <c r="A153" s="131" t="s">
        <v>643</v>
      </c>
      <c r="B153" s="105" t="s">
        <v>870</v>
      </c>
      <c r="C153" s="32" t="s">
        <v>644</v>
      </c>
      <c r="D153" s="33">
        <v>0</v>
      </c>
      <c r="E153" s="33">
        <v>0</v>
      </c>
      <c r="F153" s="33">
        <v>6655</v>
      </c>
      <c r="G153" s="33">
        <v>6655</v>
      </c>
      <c r="H153" s="33">
        <v>0</v>
      </c>
      <c r="I153" s="33">
        <v>0</v>
      </c>
      <c r="J153" s="33">
        <v>6560</v>
      </c>
      <c r="K153" s="133">
        <v>6560</v>
      </c>
      <c r="L153" s="147">
        <f t="shared" si="8"/>
        <v>0.98572501878287</v>
      </c>
      <c r="M153" s="147" t="str">
        <f t="shared" si="9"/>
        <v/>
      </c>
      <c r="N153" s="3" t="str">
        <f>_xlfn.XLOOKUP(AE[[#This Row],[Code]], 'System Mapping'!$A:$A, 'System Mapping'!$D:$D, "Not Found")</f>
        <v>NHS Kent And Medway Integrated Care Board</v>
      </c>
    </row>
    <row r="154" spans="1:14" x14ac:dyDescent="0.15">
      <c r="A154" s="131" t="s">
        <v>645</v>
      </c>
      <c r="B154" s="105" t="s">
        <v>870</v>
      </c>
      <c r="C154" s="32" t="s">
        <v>747</v>
      </c>
      <c r="D154" s="33">
        <v>21697</v>
      </c>
      <c r="E154" s="33">
        <v>0</v>
      </c>
      <c r="F154" s="33">
        <v>1712</v>
      </c>
      <c r="G154" s="33">
        <v>23409</v>
      </c>
      <c r="H154" s="33">
        <v>15826</v>
      </c>
      <c r="I154" s="33">
        <v>0</v>
      </c>
      <c r="J154" s="33">
        <v>1711</v>
      </c>
      <c r="K154" s="133">
        <v>17537</v>
      </c>
      <c r="L154" s="147">
        <f t="shared" si="8"/>
        <v>0.74915630740313555</v>
      </c>
      <c r="M154" s="147">
        <f t="shared" si="9"/>
        <v>0.72940959579665388</v>
      </c>
      <c r="N154" s="3" t="str">
        <f>_xlfn.XLOOKUP(AE[[#This Row],[Code]], 'System Mapping'!$A:$A, 'System Mapping'!$D:$D, "Not Found")</f>
        <v>NHS Kent And Medway Integrated Care Board</v>
      </c>
    </row>
    <row r="155" spans="1:14" x14ac:dyDescent="0.15">
      <c r="A155" s="131" t="s">
        <v>646</v>
      </c>
      <c r="B155" s="105" t="s">
        <v>870</v>
      </c>
      <c r="C155" s="32" t="s">
        <v>647</v>
      </c>
      <c r="D155" s="33">
        <v>10582</v>
      </c>
      <c r="E155" s="33">
        <v>0</v>
      </c>
      <c r="F155" s="33">
        <v>6701</v>
      </c>
      <c r="G155" s="33">
        <v>17283</v>
      </c>
      <c r="H155" s="33">
        <v>7375</v>
      </c>
      <c r="I155" s="33">
        <v>0</v>
      </c>
      <c r="J155" s="33">
        <v>5685</v>
      </c>
      <c r="K155" s="133">
        <v>13060</v>
      </c>
      <c r="L155" s="147">
        <f t="shared" si="8"/>
        <v>0.75565584678585895</v>
      </c>
      <c r="M155" s="147">
        <f t="shared" si="9"/>
        <v>0.69693819693819692</v>
      </c>
      <c r="N155" s="3" t="str">
        <f>_xlfn.XLOOKUP(AE[[#This Row],[Code]], 'System Mapping'!$A:$A, 'System Mapping'!$D:$D, "Not Found")</f>
        <v>NHS Kent And Medway Integrated Care Board</v>
      </c>
    </row>
    <row r="156" spans="1:14" x14ac:dyDescent="0.15">
      <c r="A156" s="131" t="s">
        <v>580</v>
      </c>
      <c r="B156" s="105" t="s">
        <v>870</v>
      </c>
      <c r="C156" s="32" t="s">
        <v>581</v>
      </c>
      <c r="D156" s="33">
        <v>0</v>
      </c>
      <c r="E156" s="33">
        <v>0</v>
      </c>
      <c r="F156" s="33">
        <v>4909</v>
      </c>
      <c r="G156" s="33">
        <v>4909</v>
      </c>
      <c r="H156" s="33">
        <v>0</v>
      </c>
      <c r="I156" s="33">
        <v>0</v>
      </c>
      <c r="J156" s="33">
        <v>4664</v>
      </c>
      <c r="K156" s="133">
        <v>4664</v>
      </c>
      <c r="L156" s="147">
        <f t="shared" si="8"/>
        <v>0.95009166836422898</v>
      </c>
      <c r="M156" s="147" t="str">
        <f t="shared" si="9"/>
        <v/>
      </c>
      <c r="N156" s="3" t="str">
        <f>_xlfn.XLOOKUP(AE[[#This Row],[Code]], 'System Mapping'!$A:$A, 'System Mapping'!$D:$D, "Not Found")</f>
        <v>NHS Thames Valley Integrated Care Board</v>
      </c>
    </row>
    <row r="157" spans="1:14" x14ac:dyDescent="0.15">
      <c r="A157" s="131" t="s">
        <v>582</v>
      </c>
      <c r="B157" s="105" t="s">
        <v>870</v>
      </c>
      <c r="C157" s="32" t="s">
        <v>583</v>
      </c>
      <c r="D157" s="33">
        <v>15665</v>
      </c>
      <c r="E157" s="33">
        <v>1472</v>
      </c>
      <c r="F157" s="33">
        <v>2856</v>
      </c>
      <c r="G157" s="33">
        <v>19993</v>
      </c>
      <c r="H157" s="33">
        <v>11573</v>
      </c>
      <c r="I157" s="33">
        <v>1472</v>
      </c>
      <c r="J157" s="33">
        <v>2856</v>
      </c>
      <c r="K157" s="133">
        <v>15901</v>
      </c>
      <c r="L157" s="147">
        <f t="shared" si="8"/>
        <v>0.79532836492772474</v>
      </c>
      <c r="M157" s="147">
        <f t="shared" si="9"/>
        <v>0.7387807213533355</v>
      </c>
      <c r="N157" s="3" t="str">
        <f>_xlfn.XLOOKUP(AE[[#This Row],[Code]], 'System Mapping'!$A:$A, 'System Mapping'!$D:$D, "Not Found")</f>
        <v>NHS Thames Valley Integrated Care Board</v>
      </c>
    </row>
    <row r="158" spans="1:14" x14ac:dyDescent="0.15">
      <c r="A158" s="131" t="s">
        <v>630</v>
      </c>
      <c r="B158" s="105" t="s">
        <v>870</v>
      </c>
      <c r="C158" s="32" t="s">
        <v>832</v>
      </c>
      <c r="D158" s="33">
        <v>0</v>
      </c>
      <c r="E158" s="33">
        <v>0</v>
      </c>
      <c r="F158" s="33">
        <v>3185</v>
      </c>
      <c r="G158" s="33">
        <v>3185</v>
      </c>
      <c r="H158" s="33">
        <v>0</v>
      </c>
      <c r="I158" s="33">
        <v>0</v>
      </c>
      <c r="J158" s="33">
        <v>2921</v>
      </c>
      <c r="K158" s="133">
        <v>2921</v>
      </c>
      <c r="L158" s="147">
        <f t="shared" si="8"/>
        <v>0.91711145996860277</v>
      </c>
      <c r="M158" s="147" t="str">
        <f t="shared" si="9"/>
        <v/>
      </c>
      <c r="N158" s="3" t="str">
        <f>_xlfn.XLOOKUP(AE[[#This Row],[Code]], 'System Mapping'!$A:$A, 'System Mapping'!$D:$D, "Not Found")</f>
        <v>NHS Hampshire And Isle Of Wight Integrated Care Board</v>
      </c>
    </row>
    <row r="159" spans="1:14" x14ac:dyDescent="0.15">
      <c r="A159" s="131" t="s">
        <v>628</v>
      </c>
      <c r="B159" s="105" t="s">
        <v>870</v>
      </c>
      <c r="C159" s="32" t="s">
        <v>867</v>
      </c>
      <c r="D159" s="33">
        <v>13784</v>
      </c>
      <c r="E159" s="33">
        <v>1176</v>
      </c>
      <c r="F159" s="33">
        <v>4331</v>
      </c>
      <c r="G159" s="33">
        <v>19291</v>
      </c>
      <c r="H159" s="33">
        <v>8297</v>
      </c>
      <c r="I159" s="33">
        <v>1152</v>
      </c>
      <c r="J159" s="33">
        <v>4310</v>
      </c>
      <c r="K159" s="133">
        <v>13759</v>
      </c>
      <c r="L159" s="147">
        <f t="shared" si="8"/>
        <v>0.71323415064019491</v>
      </c>
      <c r="M159" s="147">
        <f t="shared" si="9"/>
        <v>0.6019297736506094</v>
      </c>
      <c r="N159" s="3" t="str">
        <f>_xlfn.XLOOKUP(AE[[#This Row],[Code]], 'System Mapping'!$A:$A, 'System Mapping'!$D:$D, "Not Found")</f>
        <v>NHS Hampshire And Isle Of Wight Integrated Care Board</v>
      </c>
    </row>
    <row r="160" spans="1:14" x14ac:dyDescent="0.15">
      <c r="A160" s="131" t="s">
        <v>632</v>
      </c>
      <c r="B160" s="105" t="s">
        <v>870</v>
      </c>
      <c r="C160" s="32" t="s">
        <v>833</v>
      </c>
      <c r="D160" s="33">
        <v>0</v>
      </c>
      <c r="E160" s="33">
        <v>0</v>
      </c>
      <c r="F160" s="33">
        <v>5701</v>
      </c>
      <c r="G160" s="33">
        <v>5701</v>
      </c>
      <c r="H160" s="33">
        <v>0</v>
      </c>
      <c r="I160" s="33">
        <v>0</v>
      </c>
      <c r="J160" s="33">
        <v>5519</v>
      </c>
      <c r="K160" s="133">
        <v>5519</v>
      </c>
      <c r="L160" s="147">
        <f t="shared" si="8"/>
        <v>0.9680757761796176</v>
      </c>
      <c r="M160" s="147" t="str">
        <f t="shared" si="9"/>
        <v/>
      </c>
      <c r="N160" s="3" t="str">
        <f>_xlfn.XLOOKUP(AE[[#This Row],[Code]], 'System Mapping'!$A:$A, 'System Mapping'!$D:$D, "Not Found")</f>
        <v>NHS Hampshire And Isle Of Wight Integrated Care Board</v>
      </c>
    </row>
    <row r="161" spans="1:14" x14ac:dyDescent="0.15">
      <c r="A161" s="131" t="s">
        <v>636</v>
      </c>
      <c r="B161" s="105" t="s">
        <v>870</v>
      </c>
      <c r="C161" s="32" t="s">
        <v>834</v>
      </c>
      <c r="D161" s="33">
        <v>0</v>
      </c>
      <c r="E161" s="33">
        <v>0</v>
      </c>
      <c r="F161" s="33">
        <v>5733</v>
      </c>
      <c r="G161" s="33">
        <v>5733</v>
      </c>
      <c r="H161" s="33">
        <v>0</v>
      </c>
      <c r="I161" s="33">
        <v>0</v>
      </c>
      <c r="J161" s="33">
        <v>5589</v>
      </c>
      <c r="K161" s="133">
        <v>5589</v>
      </c>
      <c r="L161" s="147">
        <f t="shared" si="8"/>
        <v>0.97488226059654626</v>
      </c>
      <c r="M161" s="147" t="str">
        <f t="shared" si="9"/>
        <v/>
      </c>
      <c r="N161" s="3" t="str">
        <f>_xlfn.XLOOKUP(AE[[#This Row],[Code]], 'System Mapping'!$A:$A, 'System Mapping'!$D:$D, "Not Found")</f>
        <v>NHS Hampshire And Isle Of Wight Integrated Care Board</v>
      </c>
    </row>
    <row r="162" spans="1:14" x14ac:dyDescent="0.15">
      <c r="A162" s="131" t="s">
        <v>674</v>
      </c>
      <c r="B162" s="105" t="s">
        <v>870</v>
      </c>
      <c r="C162" s="32" t="s">
        <v>675</v>
      </c>
      <c r="D162" s="33">
        <v>0</v>
      </c>
      <c r="E162" s="33">
        <v>0</v>
      </c>
      <c r="F162" s="33">
        <v>1433</v>
      </c>
      <c r="G162" s="33">
        <v>1433</v>
      </c>
      <c r="H162" s="33">
        <v>0</v>
      </c>
      <c r="I162" s="33">
        <v>0</v>
      </c>
      <c r="J162" s="33">
        <v>1432</v>
      </c>
      <c r="K162" s="133">
        <v>1432</v>
      </c>
      <c r="L162" s="147">
        <f t="shared" ref="L162:L192" si="10">IFERROR(K162/G162, "Missing Data")</f>
        <v>0.99930216329378929</v>
      </c>
      <c r="M162" s="147" t="str">
        <f t="shared" ref="M162:M192" si="11">IFERROR(IF(D162=0,"",H162/D162), "Missing Data")</f>
        <v/>
      </c>
      <c r="N162" s="3" t="str">
        <f>_xlfn.XLOOKUP(AE[[#This Row],[Code]], 'System Mapping'!$A:$A, 'System Mapping'!$D:$D, "Not Found")</f>
        <v>NHS Surrey and Sussex Integrated Care Board</v>
      </c>
    </row>
    <row r="163" spans="1:14" x14ac:dyDescent="0.15">
      <c r="A163" s="131" t="s">
        <v>584</v>
      </c>
      <c r="B163" s="105" t="s">
        <v>870</v>
      </c>
      <c r="C163" s="32" t="s">
        <v>585</v>
      </c>
      <c r="D163" s="33">
        <v>12872</v>
      </c>
      <c r="E163" s="33">
        <v>2923</v>
      </c>
      <c r="F163" s="33">
        <v>3494</v>
      </c>
      <c r="G163" s="33">
        <v>19289</v>
      </c>
      <c r="H163" s="33">
        <v>8100</v>
      </c>
      <c r="I163" s="33">
        <v>2790</v>
      </c>
      <c r="J163" s="33">
        <v>3494</v>
      </c>
      <c r="K163" s="133">
        <v>14384</v>
      </c>
      <c r="L163" s="147">
        <f t="shared" si="10"/>
        <v>0.74570999014982631</v>
      </c>
      <c r="M163" s="147">
        <f t="shared" si="11"/>
        <v>0.62927284027346175</v>
      </c>
      <c r="N163" s="3" t="str">
        <f>_xlfn.XLOOKUP(AE[[#This Row],[Code]], 'System Mapping'!$A:$A, 'System Mapping'!$D:$D, "Not Found")</f>
        <v>NHS Thames Valley Integrated Care Board</v>
      </c>
    </row>
    <row r="164" spans="1:14" x14ac:dyDescent="0.15">
      <c r="A164" s="131" t="s">
        <v>659</v>
      </c>
      <c r="B164" s="105" t="s">
        <v>870</v>
      </c>
      <c r="C164" s="32" t="s">
        <v>860</v>
      </c>
      <c r="D164" s="33">
        <v>7978</v>
      </c>
      <c r="E164" s="33">
        <v>0</v>
      </c>
      <c r="F164" s="33">
        <v>2477</v>
      </c>
      <c r="G164" s="33">
        <v>10455</v>
      </c>
      <c r="H164" s="33">
        <v>5178</v>
      </c>
      <c r="I164" s="33">
        <v>0</v>
      </c>
      <c r="J164" s="33">
        <v>2476</v>
      </c>
      <c r="K164" s="133">
        <v>7654</v>
      </c>
      <c r="L164" s="147">
        <f t="shared" si="10"/>
        <v>0.73208990913438543</v>
      </c>
      <c r="M164" s="147">
        <f t="shared" si="11"/>
        <v>0.64903484582602156</v>
      </c>
      <c r="N164" s="3" t="str">
        <f>_xlfn.XLOOKUP(AE[[#This Row],[Code]], 'System Mapping'!$A:$A, 'System Mapping'!$D:$D, "Not Found")</f>
        <v>NHS Surrey and Sussex Integrated Care Board</v>
      </c>
    </row>
    <row r="165" spans="1:14" x14ac:dyDescent="0.15">
      <c r="A165" s="131" t="s">
        <v>667</v>
      </c>
      <c r="B165" s="105" t="s">
        <v>870</v>
      </c>
      <c r="C165" s="32" t="s">
        <v>748</v>
      </c>
      <c r="D165" s="33">
        <v>11041</v>
      </c>
      <c r="E165" s="33">
        <v>0</v>
      </c>
      <c r="F165" s="33">
        <v>0</v>
      </c>
      <c r="G165" s="33">
        <v>11041</v>
      </c>
      <c r="H165" s="33">
        <v>5753</v>
      </c>
      <c r="I165" s="33">
        <v>0</v>
      </c>
      <c r="J165" s="33">
        <v>0</v>
      </c>
      <c r="K165" s="133">
        <v>5753</v>
      </c>
      <c r="L165" s="147">
        <f t="shared" si="10"/>
        <v>0.52105787519246449</v>
      </c>
      <c r="M165" s="147">
        <f t="shared" si="11"/>
        <v>0.52105787519246449</v>
      </c>
      <c r="N165" s="3" t="str">
        <f>_xlfn.XLOOKUP(AE[[#This Row],[Code]], 'System Mapping'!$A:$A, 'System Mapping'!$D:$D, "Not Found")</f>
        <v>NHS Surrey and Sussex Integrated Care Board</v>
      </c>
    </row>
    <row r="166" spans="1:14" x14ac:dyDescent="0.15">
      <c r="A166" s="131" t="s">
        <v>676</v>
      </c>
      <c r="B166" s="105" t="s">
        <v>870</v>
      </c>
      <c r="C166" s="32" t="s">
        <v>677</v>
      </c>
      <c r="D166" s="33">
        <v>0</v>
      </c>
      <c r="E166" s="33">
        <v>0</v>
      </c>
      <c r="F166" s="33">
        <v>13126</v>
      </c>
      <c r="G166" s="33">
        <v>13126</v>
      </c>
      <c r="H166" s="33">
        <v>0</v>
      </c>
      <c r="I166" s="33">
        <v>0</v>
      </c>
      <c r="J166" s="33">
        <v>12637</v>
      </c>
      <c r="K166" s="133">
        <v>12637</v>
      </c>
      <c r="L166" s="147">
        <f t="shared" si="10"/>
        <v>0.96274569556605216</v>
      </c>
      <c r="M166" s="147" t="str">
        <f t="shared" si="11"/>
        <v/>
      </c>
      <c r="N166" s="3" t="str">
        <f>_xlfn.XLOOKUP(AE[[#This Row],[Code]], 'System Mapping'!$A:$A, 'System Mapping'!$D:$D, "Not Found")</f>
        <v>NHS Surrey and Sussex Integrated Care Board</v>
      </c>
    </row>
    <row r="167" spans="1:14" x14ac:dyDescent="0.15">
      <c r="A167" s="131" t="s">
        <v>637</v>
      </c>
      <c r="B167" s="105" t="s">
        <v>870</v>
      </c>
      <c r="C167" s="32" t="s">
        <v>638</v>
      </c>
      <c r="D167" s="33">
        <v>12362</v>
      </c>
      <c r="E167" s="33">
        <v>1182</v>
      </c>
      <c r="F167" s="33">
        <v>0</v>
      </c>
      <c r="G167" s="33">
        <v>13544</v>
      </c>
      <c r="H167" s="33">
        <v>8411</v>
      </c>
      <c r="I167" s="33">
        <v>1167</v>
      </c>
      <c r="J167" s="33">
        <v>0</v>
      </c>
      <c r="K167" s="133">
        <v>9578</v>
      </c>
      <c r="L167" s="147">
        <f t="shared" si="10"/>
        <v>0.70717660956881279</v>
      </c>
      <c r="M167" s="147">
        <f t="shared" si="11"/>
        <v>0.68039152240737744</v>
      </c>
      <c r="N167" s="3" t="str">
        <f>_xlfn.XLOOKUP(AE[[#This Row],[Code]], 'System Mapping'!$A:$A, 'System Mapping'!$D:$D, "Not Found")</f>
        <v>NHS Hampshire And Isle Of Wight Integrated Care Board</v>
      </c>
    </row>
    <row r="168" spans="1:14" x14ac:dyDescent="0.15">
      <c r="A168" s="131" t="s">
        <v>678</v>
      </c>
      <c r="B168" s="105" t="s">
        <v>870</v>
      </c>
      <c r="C168" s="32" t="s">
        <v>749</v>
      </c>
      <c r="D168" s="33">
        <v>30362</v>
      </c>
      <c r="E168" s="33">
        <v>1563</v>
      </c>
      <c r="F168" s="33">
        <v>1900</v>
      </c>
      <c r="G168" s="33">
        <v>33825</v>
      </c>
      <c r="H168" s="33">
        <v>17422</v>
      </c>
      <c r="I168" s="33">
        <v>1399</v>
      </c>
      <c r="J168" s="33">
        <v>1683</v>
      </c>
      <c r="K168" s="133">
        <v>20504</v>
      </c>
      <c r="L168" s="147">
        <f t="shared" si="10"/>
        <v>0.60617886178861791</v>
      </c>
      <c r="M168" s="147">
        <f t="shared" si="11"/>
        <v>0.57380936697187268</v>
      </c>
      <c r="N168" s="3" t="str">
        <f>_xlfn.XLOOKUP(AE[[#This Row],[Code]], 'System Mapping'!$A:$A, 'System Mapping'!$D:$D, "Not Found")</f>
        <v>NHS Surrey and Sussex Integrated Care Board</v>
      </c>
    </row>
    <row r="169" spans="1:14" x14ac:dyDescent="0.15">
      <c r="A169" s="131" t="s">
        <v>640</v>
      </c>
      <c r="B169" s="105" t="s">
        <v>870</v>
      </c>
      <c r="C169" s="32" t="s">
        <v>786</v>
      </c>
      <c r="D169" s="33">
        <v>0</v>
      </c>
      <c r="E169" s="33">
        <v>0</v>
      </c>
      <c r="F169" s="33">
        <v>5085</v>
      </c>
      <c r="G169" s="33">
        <v>5085</v>
      </c>
      <c r="H169" s="33">
        <v>0</v>
      </c>
      <c r="I169" s="33">
        <v>0</v>
      </c>
      <c r="J169" s="33">
        <v>5085</v>
      </c>
      <c r="K169" s="133">
        <v>5085</v>
      </c>
      <c r="L169" s="147">
        <f t="shared" si="10"/>
        <v>1</v>
      </c>
      <c r="M169" s="147" t="str">
        <f t="shared" si="11"/>
        <v/>
      </c>
      <c r="N169" s="3" t="str">
        <f>_xlfn.XLOOKUP(AE[[#This Row],[Code]], 'System Mapping'!$A:$A, 'System Mapping'!$D:$D, "Not Found")</f>
        <v>NHS Kent And Medway Integrated Care Board</v>
      </c>
    </row>
    <row r="170" spans="1:14" x14ac:dyDescent="0.15">
      <c r="A170" s="131" t="s">
        <v>664</v>
      </c>
      <c r="B170" s="105" t="s">
        <v>870</v>
      </c>
      <c r="C170" s="32" t="s">
        <v>666</v>
      </c>
      <c r="D170" s="33">
        <v>0</v>
      </c>
      <c r="E170" s="33">
        <v>0</v>
      </c>
      <c r="F170" s="33">
        <v>2773</v>
      </c>
      <c r="G170" s="33">
        <v>2773</v>
      </c>
      <c r="H170" s="33">
        <v>0</v>
      </c>
      <c r="I170" s="33">
        <v>0</v>
      </c>
      <c r="J170" s="33">
        <v>2689</v>
      </c>
      <c r="K170" s="133">
        <v>2689</v>
      </c>
      <c r="L170" s="147">
        <f t="shared" si="10"/>
        <v>0.96970789758384424</v>
      </c>
      <c r="M170" s="147" t="str">
        <f t="shared" si="11"/>
        <v/>
      </c>
      <c r="N170" s="3" t="str">
        <f>_xlfn.XLOOKUP(AE[[#This Row],[Code]], 'System Mapping'!$A:$A, 'System Mapping'!$D:$D, "Not Found")</f>
        <v>NHS Surrey and Sussex Integrated Care Board</v>
      </c>
    </row>
    <row r="171" spans="1:14" x14ac:dyDescent="0.15">
      <c r="A171" s="131" t="s">
        <v>569</v>
      </c>
      <c r="B171" s="105" t="s">
        <v>871</v>
      </c>
      <c r="C171" s="32" t="s">
        <v>864</v>
      </c>
      <c r="D171" s="33">
        <v>26019</v>
      </c>
      <c r="E171" s="33">
        <v>2648</v>
      </c>
      <c r="F171" s="33">
        <v>0</v>
      </c>
      <c r="G171" s="33">
        <v>28667</v>
      </c>
      <c r="H171" s="33">
        <v>17631</v>
      </c>
      <c r="I171" s="33">
        <v>2342</v>
      </c>
      <c r="J171" s="33">
        <v>0</v>
      </c>
      <c r="K171" s="133">
        <v>19973</v>
      </c>
      <c r="L171" s="147">
        <f t="shared" si="10"/>
        <v>0.69672445669236405</v>
      </c>
      <c r="M171" s="147">
        <f t="shared" si="11"/>
        <v>0.67762020062262196</v>
      </c>
      <c r="N171" s="3" t="str">
        <f>_xlfn.XLOOKUP(AE[[#This Row],[Code]], 'System Mapping'!$A:$A, 'System Mapping'!$D:$D, "Not Found")</f>
        <v>NHS Bristol, North Somerset And South Gloucestershire Integrated Care Board</v>
      </c>
    </row>
    <row r="172" spans="1:14" x14ac:dyDescent="0.15">
      <c r="A172" s="131" t="s">
        <v>798</v>
      </c>
      <c r="B172" s="105" t="s">
        <v>871</v>
      </c>
      <c r="C172" s="32" t="s">
        <v>794</v>
      </c>
      <c r="D172" s="33">
        <v>0</v>
      </c>
      <c r="E172" s="33">
        <v>0</v>
      </c>
      <c r="F172" s="33">
        <v>1811</v>
      </c>
      <c r="G172" s="33">
        <v>1811</v>
      </c>
      <c r="H172" s="33">
        <v>0</v>
      </c>
      <c r="I172" s="33">
        <v>0</v>
      </c>
      <c r="J172" s="33">
        <v>1782</v>
      </c>
      <c r="K172" s="133">
        <v>1782</v>
      </c>
      <c r="L172" s="147">
        <f t="shared" si="10"/>
        <v>0.98398674765323024</v>
      </c>
      <c r="M172" s="147" t="str">
        <f t="shared" si="11"/>
        <v/>
      </c>
      <c r="N172" s="3" t="str">
        <f>_xlfn.XLOOKUP(AE[[#This Row],[Code]], 'System Mapping'!$A:$A, 'System Mapping'!$D:$D, "Not Found")</f>
        <v>NHS Bath And North East Somerset, Swindon And Wiltshire Integrated Care Board</v>
      </c>
    </row>
    <row r="173" spans="1:14" x14ac:dyDescent="0.15">
      <c r="A173" s="131" t="s">
        <v>586</v>
      </c>
      <c r="B173" s="105" t="s">
        <v>871</v>
      </c>
      <c r="C173" s="32" t="s">
        <v>587</v>
      </c>
      <c r="D173" s="33">
        <v>0</v>
      </c>
      <c r="E173" s="33">
        <v>0</v>
      </c>
      <c r="F173" s="33">
        <v>0</v>
      </c>
      <c r="G173" s="33">
        <v>0</v>
      </c>
      <c r="H173" s="33">
        <v>0</v>
      </c>
      <c r="I173" s="33">
        <v>0</v>
      </c>
      <c r="J173" s="33">
        <v>0</v>
      </c>
      <c r="K173" s="133">
        <v>0</v>
      </c>
      <c r="L173" s="147" t="str">
        <f t="shared" si="10"/>
        <v>Missing Data</v>
      </c>
      <c r="M173" s="147" t="str">
        <f t="shared" si="11"/>
        <v/>
      </c>
      <c r="N173" s="3" t="str">
        <f>_xlfn.XLOOKUP(AE[[#This Row],[Code]], 'System Mapping'!$A:$A, 'System Mapping'!$D:$D, "Not Found")</f>
        <v>NHS Cornwall And The Isles Of Scilly Integrated Care Board</v>
      </c>
    </row>
    <row r="174" spans="1:14" x14ac:dyDescent="0.15">
      <c r="A174" s="131" t="s">
        <v>603</v>
      </c>
      <c r="B174" s="105" t="s">
        <v>871</v>
      </c>
      <c r="C174" s="32" t="s">
        <v>604</v>
      </c>
      <c r="D174" s="33">
        <v>5255</v>
      </c>
      <c r="E174" s="33">
        <v>0</v>
      </c>
      <c r="F174" s="33">
        <v>4436</v>
      </c>
      <c r="G174" s="33">
        <v>9691</v>
      </c>
      <c r="H174" s="33">
        <v>3185</v>
      </c>
      <c r="I174" s="33">
        <v>0</v>
      </c>
      <c r="J174" s="33">
        <v>4430</v>
      </c>
      <c r="K174" s="133">
        <v>7615</v>
      </c>
      <c r="L174" s="147">
        <f t="shared" si="10"/>
        <v>0.78578062119492309</v>
      </c>
      <c r="M174" s="147">
        <f t="shared" si="11"/>
        <v>0.6060894386298763</v>
      </c>
      <c r="N174" s="3" t="str">
        <f>_xlfn.XLOOKUP(AE[[#This Row],[Code]], 'System Mapping'!$A:$A, 'System Mapping'!$D:$D, "Not Found")</f>
        <v>NHS Dorset Integrated Care Board</v>
      </c>
    </row>
    <row r="175" spans="1:14" x14ac:dyDescent="0.15">
      <c r="A175" s="131" t="s">
        <v>605</v>
      </c>
      <c r="B175" s="105" t="s">
        <v>871</v>
      </c>
      <c r="C175" s="32" t="s">
        <v>606</v>
      </c>
      <c r="D175" s="33">
        <v>0</v>
      </c>
      <c r="E175" s="33">
        <v>0</v>
      </c>
      <c r="F175" s="33">
        <v>0</v>
      </c>
      <c r="G175" s="33">
        <v>0</v>
      </c>
      <c r="H175" s="33">
        <v>0</v>
      </c>
      <c r="I175" s="33">
        <v>0</v>
      </c>
      <c r="J175" s="33">
        <v>0</v>
      </c>
      <c r="K175" s="133">
        <v>0</v>
      </c>
      <c r="L175" s="147" t="str">
        <f t="shared" si="10"/>
        <v>Missing Data</v>
      </c>
      <c r="M175" s="147" t="str">
        <f t="shared" si="11"/>
        <v/>
      </c>
      <c r="N175" s="3" t="str">
        <f>_xlfn.XLOOKUP(AE[[#This Row],[Code]], 'System Mapping'!$A:$A, 'System Mapping'!$D:$D, "Not Found")</f>
        <v>NHS Dorset Integrated Care Board</v>
      </c>
    </row>
    <row r="176" spans="1:14" x14ac:dyDescent="0.15">
      <c r="A176" s="131" t="s">
        <v>619</v>
      </c>
      <c r="B176" s="105" t="s">
        <v>871</v>
      </c>
      <c r="C176" s="32" t="s">
        <v>831</v>
      </c>
      <c r="D176" s="33">
        <v>0</v>
      </c>
      <c r="E176" s="33">
        <v>0</v>
      </c>
      <c r="F176" s="33">
        <v>8345</v>
      </c>
      <c r="G176" s="33">
        <v>8345</v>
      </c>
      <c r="H176" s="33">
        <v>0</v>
      </c>
      <c r="I176" s="33">
        <v>0</v>
      </c>
      <c r="J176" s="33">
        <v>8020</v>
      </c>
      <c r="K176" s="133">
        <v>8020</v>
      </c>
      <c r="L176" s="147">
        <f t="shared" si="10"/>
        <v>0.96105452366686639</v>
      </c>
      <c r="M176" s="147" t="str">
        <f t="shared" si="11"/>
        <v/>
      </c>
      <c r="N176" s="3" t="str">
        <f>_xlfn.XLOOKUP(AE[[#This Row],[Code]], 'System Mapping'!$A:$A, 'System Mapping'!$D:$D, "Not Found")</f>
        <v>NHS Gloucestershire Integrated Care Board</v>
      </c>
    </row>
    <row r="177" spans="1:14" x14ac:dyDescent="0.15">
      <c r="A177" s="131" t="s">
        <v>621</v>
      </c>
      <c r="B177" s="105" t="s">
        <v>871</v>
      </c>
      <c r="C177" s="32" t="s">
        <v>622</v>
      </c>
      <c r="D177" s="33">
        <v>14773</v>
      </c>
      <c r="E177" s="33">
        <v>0</v>
      </c>
      <c r="F177" s="33">
        <v>0</v>
      </c>
      <c r="G177" s="33">
        <v>14773</v>
      </c>
      <c r="H177" s="33">
        <v>9134</v>
      </c>
      <c r="I177" s="33">
        <v>0</v>
      </c>
      <c r="J177" s="33">
        <v>0</v>
      </c>
      <c r="K177" s="133">
        <v>9134</v>
      </c>
      <c r="L177" s="147">
        <f t="shared" si="10"/>
        <v>0.61829012387463611</v>
      </c>
      <c r="M177" s="147">
        <f t="shared" si="11"/>
        <v>0.61829012387463611</v>
      </c>
      <c r="N177" s="3" t="str">
        <f>_xlfn.XLOOKUP(AE[[#This Row],[Code]], 'System Mapping'!$A:$A, 'System Mapping'!$D:$D, "Not Found")</f>
        <v>NHS Gloucestershire Integrated Care Board</v>
      </c>
    </row>
    <row r="178" spans="1:14" x14ac:dyDescent="0.15">
      <c r="A178" s="131" t="s">
        <v>552</v>
      </c>
      <c r="B178" s="105" t="s">
        <v>871</v>
      </c>
      <c r="C178" s="32" t="s">
        <v>553</v>
      </c>
      <c r="D178" s="33">
        <v>7991</v>
      </c>
      <c r="E178" s="33">
        <v>0</v>
      </c>
      <c r="F178" s="33">
        <v>4602</v>
      </c>
      <c r="G178" s="33">
        <v>12593</v>
      </c>
      <c r="H178" s="33">
        <v>4283</v>
      </c>
      <c r="I178" s="33">
        <v>0</v>
      </c>
      <c r="J178" s="33">
        <v>3974</v>
      </c>
      <c r="K178" s="133">
        <v>8257</v>
      </c>
      <c r="L178" s="147">
        <f t="shared" si="10"/>
        <v>0.65568172794409596</v>
      </c>
      <c r="M178" s="147">
        <f t="shared" si="11"/>
        <v>0.53597797522212487</v>
      </c>
      <c r="N178" s="3" t="str">
        <f>_xlfn.XLOOKUP(AE[[#This Row],[Code]], 'System Mapping'!$A:$A, 'System Mapping'!$D:$D, "Not Found")</f>
        <v>NHS Bath And North East Somerset, Swindon And Wiltshire Integrated Care Board</v>
      </c>
    </row>
    <row r="179" spans="1:14" x14ac:dyDescent="0.15">
      <c r="A179" s="131" t="s">
        <v>596</v>
      </c>
      <c r="B179" s="105" t="s">
        <v>871</v>
      </c>
      <c r="C179" s="32" t="s">
        <v>597</v>
      </c>
      <c r="D179" s="33">
        <v>0</v>
      </c>
      <c r="E179" s="33">
        <v>0</v>
      </c>
      <c r="F179" s="33">
        <v>67</v>
      </c>
      <c r="G179" s="33">
        <v>67</v>
      </c>
      <c r="H179" s="33">
        <v>0</v>
      </c>
      <c r="I179" s="33">
        <v>0</v>
      </c>
      <c r="J179" s="33">
        <v>67</v>
      </c>
      <c r="K179" s="133">
        <v>67</v>
      </c>
      <c r="L179" s="147">
        <f t="shared" si="10"/>
        <v>1</v>
      </c>
      <c r="M179" s="147" t="str">
        <f t="shared" si="11"/>
        <v/>
      </c>
      <c r="N179" s="3" t="str">
        <f>_xlfn.XLOOKUP(AE[[#This Row],[Code]], 'System Mapping'!$A:$A, 'System Mapping'!$D:$D, "Not Found")</f>
        <v>NHS Devon Integrated Care Board</v>
      </c>
    </row>
    <row r="180" spans="1:14" x14ac:dyDescent="0.15">
      <c r="A180" s="131" t="s">
        <v>556</v>
      </c>
      <c r="B180" s="105" t="s">
        <v>871</v>
      </c>
      <c r="C180" s="32" t="s">
        <v>555</v>
      </c>
      <c r="D180" s="33">
        <v>0</v>
      </c>
      <c r="E180" s="33">
        <v>0</v>
      </c>
      <c r="F180" s="33">
        <v>1382</v>
      </c>
      <c r="G180" s="33">
        <v>1382</v>
      </c>
      <c r="H180" s="33">
        <v>0</v>
      </c>
      <c r="I180" s="33">
        <v>0</v>
      </c>
      <c r="J180" s="33">
        <v>1378</v>
      </c>
      <c r="K180" s="133">
        <v>1378</v>
      </c>
      <c r="L180" s="147">
        <f t="shared" si="10"/>
        <v>0.99710564399421131</v>
      </c>
      <c r="M180" s="147" t="str">
        <f t="shared" si="11"/>
        <v/>
      </c>
      <c r="N180" s="3" t="str">
        <f>_xlfn.XLOOKUP(AE[[#This Row],[Code]], 'System Mapping'!$A:$A, 'System Mapping'!$D:$D, "Not Found")</f>
        <v>NHS Bath And North East Somerset, Swindon And Wiltshire Integrated Care Board</v>
      </c>
    </row>
    <row r="181" spans="1:14" x14ac:dyDescent="0.15">
      <c r="A181" s="131" t="s">
        <v>588</v>
      </c>
      <c r="B181" s="105" t="s">
        <v>871</v>
      </c>
      <c r="C181" s="32" t="s">
        <v>589</v>
      </c>
      <c r="D181" s="33">
        <v>7435</v>
      </c>
      <c r="E181" s="33">
        <v>0</v>
      </c>
      <c r="F181" s="33">
        <v>12254</v>
      </c>
      <c r="G181" s="33">
        <v>19689</v>
      </c>
      <c r="H181" s="33">
        <v>3507</v>
      </c>
      <c r="I181" s="33">
        <v>0</v>
      </c>
      <c r="J181" s="33">
        <v>11352</v>
      </c>
      <c r="K181" s="133">
        <v>14859</v>
      </c>
      <c r="L181" s="147">
        <f t="shared" si="10"/>
        <v>0.75468535730610997</v>
      </c>
      <c r="M181" s="147">
        <f t="shared" si="11"/>
        <v>0.47168796234028243</v>
      </c>
      <c r="N181" s="3" t="str">
        <f>_xlfn.XLOOKUP(AE[[#This Row],[Code]], 'System Mapping'!$A:$A, 'System Mapping'!$D:$D, "Not Found")</f>
        <v>NHS Cornwall And The Isles Of Scilly Integrated Care Board</v>
      </c>
    </row>
    <row r="182" spans="1:14" x14ac:dyDescent="0.15">
      <c r="A182" s="131" t="s">
        <v>600</v>
      </c>
      <c r="B182" s="105" t="s">
        <v>871</v>
      </c>
      <c r="C182" s="32" t="s">
        <v>601</v>
      </c>
      <c r="D182" s="33">
        <v>14759</v>
      </c>
      <c r="E182" s="33">
        <v>0</v>
      </c>
      <c r="F182" s="33">
        <v>5049</v>
      </c>
      <c r="G182" s="33">
        <v>19808</v>
      </c>
      <c r="H182" s="33">
        <v>7415</v>
      </c>
      <c r="I182" s="33">
        <v>0</v>
      </c>
      <c r="J182" s="33">
        <v>5035</v>
      </c>
      <c r="K182" s="133">
        <v>12450</v>
      </c>
      <c r="L182" s="147">
        <f t="shared" si="10"/>
        <v>0.62853392568659128</v>
      </c>
      <c r="M182" s="147">
        <f t="shared" si="11"/>
        <v>0.50240531201300898</v>
      </c>
      <c r="N182" s="3" t="str">
        <f>_xlfn.XLOOKUP(AE[[#This Row],[Code]], 'System Mapping'!$A:$A, 'System Mapping'!$D:$D, "Not Found")</f>
        <v>NHS Devon Integrated Care Board</v>
      </c>
    </row>
    <row r="183" spans="1:14" x14ac:dyDescent="0.15">
      <c r="A183" s="131" t="s">
        <v>557</v>
      </c>
      <c r="B183" s="105" t="s">
        <v>871</v>
      </c>
      <c r="C183" s="32" t="s">
        <v>558</v>
      </c>
      <c r="D183" s="33">
        <v>9425</v>
      </c>
      <c r="E183" s="33">
        <v>0</v>
      </c>
      <c r="F183" s="33">
        <v>0</v>
      </c>
      <c r="G183" s="33">
        <v>9425</v>
      </c>
      <c r="H183" s="33">
        <v>5346</v>
      </c>
      <c r="I183" s="33">
        <v>0</v>
      </c>
      <c r="J183" s="33">
        <v>0</v>
      </c>
      <c r="K183" s="133">
        <v>5346</v>
      </c>
      <c r="L183" s="147">
        <f t="shared" si="10"/>
        <v>0.56721485411140582</v>
      </c>
      <c r="M183" s="147">
        <f t="shared" si="11"/>
        <v>0.56721485411140582</v>
      </c>
      <c r="N183" s="3" t="str">
        <f>_xlfn.XLOOKUP(AE[[#This Row],[Code]], 'System Mapping'!$A:$A, 'System Mapping'!$D:$D, "Not Found")</f>
        <v>NHS Bath And North East Somerset, Swindon And Wiltshire Integrated Care Board</v>
      </c>
    </row>
    <row r="184" spans="1:14" x14ac:dyDescent="0.15">
      <c r="A184" s="131" t="s">
        <v>559</v>
      </c>
      <c r="B184" s="105" t="s">
        <v>871</v>
      </c>
      <c r="C184" s="32" t="s">
        <v>560</v>
      </c>
      <c r="D184" s="33">
        <v>5083</v>
      </c>
      <c r="E184" s="33">
        <v>339</v>
      </c>
      <c r="F184" s="33">
        <v>2102</v>
      </c>
      <c r="G184" s="33">
        <v>7524</v>
      </c>
      <c r="H184" s="33">
        <v>2562</v>
      </c>
      <c r="I184" s="33">
        <v>339</v>
      </c>
      <c r="J184" s="33">
        <v>2102</v>
      </c>
      <c r="K184" s="133">
        <v>5003</v>
      </c>
      <c r="L184" s="147">
        <f t="shared" si="10"/>
        <v>0.66493886230728338</v>
      </c>
      <c r="M184" s="147">
        <f t="shared" si="11"/>
        <v>0.50403305134762932</v>
      </c>
      <c r="N184" s="3" t="str">
        <f>_xlfn.XLOOKUP(AE[[#This Row],[Code]], 'System Mapping'!$A:$A, 'System Mapping'!$D:$D, "Not Found")</f>
        <v>NHS Bath And North East Somerset, Swindon And Wiltshire Integrated Care Board</v>
      </c>
    </row>
    <row r="185" spans="1:14" x14ac:dyDescent="0.15">
      <c r="A185" s="131" t="s">
        <v>565</v>
      </c>
      <c r="B185" s="105" t="s">
        <v>871</v>
      </c>
      <c r="C185" s="32" t="s">
        <v>829</v>
      </c>
      <c r="D185" s="33">
        <v>0</v>
      </c>
      <c r="E185" s="33">
        <v>0</v>
      </c>
      <c r="F185" s="33">
        <v>9915</v>
      </c>
      <c r="G185" s="33">
        <v>9915</v>
      </c>
      <c r="H185" s="33">
        <v>0</v>
      </c>
      <c r="I185" s="33">
        <v>0</v>
      </c>
      <c r="J185" s="33">
        <v>9360</v>
      </c>
      <c r="K185" s="133">
        <v>9360</v>
      </c>
      <c r="L185" s="147">
        <f t="shared" si="10"/>
        <v>0.94402420574886536</v>
      </c>
      <c r="M185" s="147" t="str">
        <f t="shared" si="11"/>
        <v/>
      </c>
      <c r="N185" s="3" t="str">
        <f>_xlfn.XLOOKUP(AE[[#This Row],[Code]], 'System Mapping'!$A:$A, 'System Mapping'!$D:$D, "Not Found")</f>
        <v>NHS Bristol, North Somerset And South Gloucestershire Integrated Care Board</v>
      </c>
    </row>
    <row r="186" spans="1:14" x14ac:dyDescent="0.15">
      <c r="A186" s="131" t="s">
        <v>648</v>
      </c>
      <c r="B186" s="105" t="s">
        <v>871</v>
      </c>
      <c r="C186" s="32" t="s">
        <v>649</v>
      </c>
      <c r="D186" s="33">
        <v>12302</v>
      </c>
      <c r="E186" s="33">
        <v>0</v>
      </c>
      <c r="F186" s="33">
        <v>9553</v>
      </c>
      <c r="G186" s="33">
        <v>21855</v>
      </c>
      <c r="H186" s="33">
        <v>6447</v>
      </c>
      <c r="I186" s="33">
        <v>0</v>
      </c>
      <c r="J186" s="33">
        <v>9229</v>
      </c>
      <c r="K186" s="133">
        <v>15676</v>
      </c>
      <c r="L186" s="147">
        <f t="shared" si="10"/>
        <v>0.71727293525509039</v>
      </c>
      <c r="M186" s="147">
        <f t="shared" si="11"/>
        <v>0.52406112827182572</v>
      </c>
      <c r="N186" s="3" t="str">
        <f>_xlfn.XLOOKUP(AE[[#This Row],[Code]], 'System Mapping'!$A:$A, 'System Mapping'!$D:$D, "Not Found")</f>
        <v>NHS Somerset Integrated Care Board</v>
      </c>
    </row>
    <row r="187" spans="1:14" x14ac:dyDescent="0.15">
      <c r="A187" s="131" t="s">
        <v>607</v>
      </c>
      <c r="B187" s="105" t="s">
        <v>871</v>
      </c>
      <c r="C187" s="32" t="s">
        <v>608</v>
      </c>
      <c r="D187" s="33">
        <v>0</v>
      </c>
      <c r="E187" s="33">
        <v>0</v>
      </c>
      <c r="F187" s="33">
        <v>1826</v>
      </c>
      <c r="G187" s="33">
        <v>1826</v>
      </c>
      <c r="H187" s="33">
        <v>0</v>
      </c>
      <c r="I187" s="33">
        <v>0</v>
      </c>
      <c r="J187" s="33">
        <v>1713</v>
      </c>
      <c r="K187" s="133">
        <v>1713</v>
      </c>
      <c r="L187" s="147">
        <f t="shared" si="10"/>
        <v>0.93811610076670315</v>
      </c>
      <c r="M187" s="147" t="str">
        <f t="shared" si="11"/>
        <v/>
      </c>
      <c r="N187" s="3" t="str">
        <f>_xlfn.XLOOKUP(AE[[#This Row],[Code]], 'System Mapping'!$A:$A, 'System Mapping'!$D:$D, "Not Found")</f>
        <v>NHS Devon Integrated Care Board</v>
      </c>
    </row>
    <row r="188" spans="1:14" x14ac:dyDescent="0.15">
      <c r="A188" s="131" t="s">
        <v>623</v>
      </c>
      <c r="B188" s="105" t="s">
        <v>871</v>
      </c>
      <c r="C188" s="32" t="s">
        <v>624</v>
      </c>
      <c r="D188" s="33">
        <v>0</v>
      </c>
      <c r="E188" s="33">
        <v>0</v>
      </c>
      <c r="F188" s="33">
        <v>702</v>
      </c>
      <c r="G188" s="33">
        <v>702</v>
      </c>
      <c r="H188" s="33">
        <v>0</v>
      </c>
      <c r="I188" s="33">
        <v>0</v>
      </c>
      <c r="J188" s="33">
        <v>702</v>
      </c>
      <c r="K188" s="133">
        <v>702</v>
      </c>
      <c r="L188" s="147">
        <f t="shared" si="10"/>
        <v>1</v>
      </c>
      <c r="M188" s="147" t="str">
        <f t="shared" si="11"/>
        <v/>
      </c>
      <c r="N188" s="3" t="str">
        <f>_xlfn.XLOOKUP(AE[[#This Row],[Code]], 'System Mapping'!$A:$A, 'System Mapping'!$D:$D, "Not Found")</f>
        <v>NHS Gloucestershire Integrated Care Board</v>
      </c>
    </row>
    <row r="189" spans="1:14" x14ac:dyDescent="0.15">
      <c r="A189" s="131" t="s">
        <v>602</v>
      </c>
      <c r="B189" s="105" t="s">
        <v>871</v>
      </c>
      <c r="C189" s="32" t="s">
        <v>750</v>
      </c>
      <c r="D189" s="33">
        <v>7380</v>
      </c>
      <c r="E189" s="33">
        <v>0</v>
      </c>
      <c r="F189" s="33">
        <v>3743</v>
      </c>
      <c r="G189" s="33">
        <v>11123</v>
      </c>
      <c r="H189" s="33">
        <v>4397</v>
      </c>
      <c r="I189" s="33">
        <v>0</v>
      </c>
      <c r="J189" s="33">
        <v>3553</v>
      </c>
      <c r="K189" s="133">
        <v>7950</v>
      </c>
      <c r="L189" s="147">
        <f t="shared" si="10"/>
        <v>0.71473523330036859</v>
      </c>
      <c r="M189" s="147">
        <f t="shared" si="11"/>
        <v>0.5957994579945799</v>
      </c>
      <c r="N189" s="3" t="str">
        <f>_xlfn.XLOOKUP(AE[[#This Row],[Code]], 'System Mapping'!$A:$A, 'System Mapping'!$D:$D, "Not Found")</f>
        <v>NHS Devon Integrated Care Board</v>
      </c>
    </row>
    <row r="190" spans="1:14" x14ac:dyDescent="0.15">
      <c r="A190" s="131" t="s">
        <v>799</v>
      </c>
      <c r="B190" s="105" t="s">
        <v>871</v>
      </c>
      <c r="C190" s="32" t="s">
        <v>795</v>
      </c>
      <c r="D190" s="33">
        <v>0</v>
      </c>
      <c r="E190" s="33">
        <v>0</v>
      </c>
      <c r="F190" s="33">
        <v>1624</v>
      </c>
      <c r="G190" s="33">
        <v>1624</v>
      </c>
      <c r="H190" s="33">
        <v>0</v>
      </c>
      <c r="I190" s="33">
        <v>0</v>
      </c>
      <c r="J190" s="33">
        <v>1604</v>
      </c>
      <c r="K190" s="133">
        <v>1604</v>
      </c>
      <c r="L190" s="147">
        <f t="shared" si="10"/>
        <v>0.98768472906403937</v>
      </c>
      <c r="M190" s="147" t="str">
        <f t="shared" si="11"/>
        <v/>
      </c>
      <c r="N190" s="3" t="str">
        <f>_xlfn.XLOOKUP(AE[[#This Row],[Code]], 'System Mapping'!$A:$A, 'System Mapping'!$D:$D, "Not Found")</f>
        <v>NHS Bath And North East Somerset, Swindon And Wiltshire Integrated Care Board</v>
      </c>
    </row>
    <row r="191" spans="1:14" x14ac:dyDescent="0.15">
      <c r="A191" s="131" t="s">
        <v>609</v>
      </c>
      <c r="B191" s="105" t="s">
        <v>871</v>
      </c>
      <c r="C191" s="117" t="s">
        <v>610</v>
      </c>
      <c r="D191" s="33">
        <v>16401</v>
      </c>
      <c r="E191" s="33">
        <v>0</v>
      </c>
      <c r="F191" s="33">
        <v>4083</v>
      </c>
      <c r="G191" s="33">
        <v>20484</v>
      </c>
      <c r="H191" s="33">
        <v>10634</v>
      </c>
      <c r="I191" s="33">
        <v>0</v>
      </c>
      <c r="J191" s="33">
        <v>4083</v>
      </c>
      <c r="K191" s="133">
        <v>14717</v>
      </c>
      <c r="L191" s="147">
        <f t="shared" si="10"/>
        <v>0.71846319078305021</v>
      </c>
      <c r="M191" s="147">
        <f t="shared" si="11"/>
        <v>0.64837509907932445</v>
      </c>
      <c r="N191" s="3" t="str">
        <f>_xlfn.XLOOKUP(AE[[#This Row],[Code]], 'System Mapping'!$A:$A, 'System Mapping'!$D:$D, "Not Found")</f>
        <v>NHS Dorset Integrated Care Board</v>
      </c>
    </row>
    <row r="192" spans="1:14" x14ac:dyDescent="0.15">
      <c r="A192" s="138" t="s">
        <v>598</v>
      </c>
      <c r="B192" s="139" t="s">
        <v>871</v>
      </c>
      <c r="C192" s="140" t="s">
        <v>599</v>
      </c>
      <c r="D192" s="141">
        <v>9089</v>
      </c>
      <c r="E192" s="141">
        <v>74</v>
      </c>
      <c r="F192" s="141">
        <v>8290</v>
      </c>
      <c r="G192" s="141">
        <v>17453</v>
      </c>
      <c r="H192" s="141">
        <v>3293</v>
      </c>
      <c r="I192" s="141">
        <v>68</v>
      </c>
      <c r="J192" s="141">
        <v>8089</v>
      </c>
      <c r="K192" s="142">
        <v>11450</v>
      </c>
      <c r="L192" s="148">
        <f t="shared" si="10"/>
        <v>0.65604767088752647</v>
      </c>
      <c r="M192" s="148">
        <f t="shared" si="11"/>
        <v>0.36230608427769834</v>
      </c>
      <c r="N192" s="3" t="str">
        <f>_xlfn.XLOOKUP(AE[[#This Row],[Code]], 'System Mapping'!$A:$A, 'System Mapping'!$D:$D, "Not Found")</f>
        <v>NHS Devon Integrated Care Board</v>
      </c>
    </row>
    <row r="193" spans="1:14" x14ac:dyDescent="0.15">
      <c r="A193" s="138"/>
      <c r="B193" s="139"/>
      <c r="C193" s="140"/>
      <c r="D193" s="141"/>
      <c r="E193" s="141"/>
      <c r="F193" s="141"/>
      <c r="G193" s="141">
        <f>SUM(G2:G192)</f>
        <v>2444743</v>
      </c>
      <c r="H193" s="141"/>
      <c r="I193" s="141"/>
      <c r="J193" s="141"/>
      <c r="K193" s="141"/>
      <c r="L193" s="148"/>
      <c r="M193" s="148"/>
      <c r="N193" s="140"/>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2F2E-3945-B44B-89F1-D193C3E0BC7F}">
  <dimension ref="A1:B12"/>
  <sheetViews>
    <sheetView topLeftCell="A3" workbookViewId="0">
      <selection activeCell="B13" sqref="B13"/>
    </sheetView>
  </sheetViews>
  <sheetFormatPr baseColWidth="10" defaultRowHeight="13" x14ac:dyDescent="0.15"/>
  <cols>
    <col min="1" max="1" width="27.33203125" customWidth="1"/>
    <col min="2" max="2" width="38.1640625" customWidth="1"/>
  </cols>
  <sheetData>
    <row r="1" spans="1:2" x14ac:dyDescent="0.15">
      <c r="A1" s="66" t="s">
        <v>886</v>
      </c>
    </row>
    <row r="3" spans="1:2" x14ac:dyDescent="0.15">
      <c r="A3" s="66" t="s">
        <v>887</v>
      </c>
      <c r="B3" s="66" t="s">
        <v>893</v>
      </c>
    </row>
    <row r="4" spans="1:2" x14ac:dyDescent="0.15">
      <c r="A4" s="66" t="s">
        <v>888</v>
      </c>
      <c r="B4" t="str">
        <f>_xlfn.XLOOKUP($B$3,AE[Code],AE[Provider])</f>
        <v>Maidstone And Tunbridge Wells NHS Trust</v>
      </c>
    </row>
    <row r="5" spans="1:2" x14ac:dyDescent="0.15">
      <c r="A5" s="66" t="s">
        <v>26</v>
      </c>
      <c r="B5">
        <f>_xlfn.XLOOKUP($B$3,AE[Code], AE[Total_Att])</f>
        <v>23409</v>
      </c>
    </row>
    <row r="6" spans="1:2" x14ac:dyDescent="0.15">
      <c r="A6" s="66" t="s">
        <v>889</v>
      </c>
      <c r="B6">
        <f>_xlfn.XLOOKUP($B$3, AE[Code],AE[Total _WithIn4])</f>
        <v>17537</v>
      </c>
    </row>
    <row r="7" spans="1:2" x14ac:dyDescent="0.15">
      <c r="A7" s="66" t="s">
        <v>890</v>
      </c>
      <c r="B7" s="144">
        <f>_xlfn.XLOOKUP($B$3,AE[Code],AE[AllTypes_4hr_pct])</f>
        <v>0.74915630740313555</v>
      </c>
    </row>
    <row r="8" spans="1:2" x14ac:dyDescent="0.15">
      <c r="A8" s="66" t="s">
        <v>891</v>
      </c>
      <c r="B8">
        <f>_xlfn.XLOOKUP($B$3, AE[Code],AE[T1_Att])</f>
        <v>21697</v>
      </c>
    </row>
    <row r="9" spans="1:2" x14ac:dyDescent="0.15">
      <c r="A9" s="66" t="s">
        <v>892</v>
      </c>
      <c r="B9" s="150">
        <f>_xlfn.XLOOKUP($B$3, AE[Code],AE[Type1_4hr_pct])</f>
        <v>0.72940959579665388</v>
      </c>
    </row>
    <row r="11" spans="1:2" x14ac:dyDescent="0.15">
      <c r="A11" s="66" t="s">
        <v>894</v>
      </c>
      <c r="B11" s="150">
        <f>SUM(AE[Total _WithIn4])/SUM(AE[Total_Att])</f>
        <v>0.7436331753480836</v>
      </c>
    </row>
    <row r="12" spans="1:2" x14ac:dyDescent="0.15">
      <c r="A12" s="66" t="s">
        <v>895</v>
      </c>
      <c r="B12" s="108">
        <f>SUM(AE[Total_Att])</f>
        <v>2444743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8157-4D9B-944F-8378-CE5AF6F0A591}">
  <sheetPr codeName="Sheet6"/>
  <dimension ref="B1:AC230"/>
  <sheetViews>
    <sheetView showGridLines="0" zoomScale="85" zoomScaleNormal="85" zoomScaleSheetLayoutView="25" workbookViewId="0"/>
  </sheetViews>
  <sheetFormatPr baseColWidth="10" defaultColWidth="8.83203125" defaultRowHeight="13" x14ac:dyDescent="0.15"/>
  <cols>
    <col min="1" max="1" width="1.83203125" style="3" customWidth="1"/>
    <col min="2" max="2" width="13.1640625" style="3" customWidth="1"/>
    <col min="3" max="3" width="48.83203125" style="3" customWidth="1"/>
    <col min="4" max="4" width="69.5" style="3" customWidth="1"/>
    <col min="5" max="5" width="18.1640625" style="3" customWidth="1"/>
    <col min="6" max="6" width="18.5" style="3" customWidth="1"/>
    <col min="7" max="26" width="16.1640625" style="3" customWidth="1"/>
    <col min="27" max="27" width="22.5" style="3" customWidth="1"/>
    <col min="28" max="28" width="20.83203125" style="3" customWidth="1"/>
    <col min="29" max="29" width="23.5" style="3" hidden="1" customWidth="1"/>
    <col min="30" max="30" width="23.5" style="3" customWidth="1"/>
    <col min="31" max="16384" width="8.83203125" style="3"/>
  </cols>
  <sheetData>
    <row r="1" spans="2:28" s="53" customFormat="1" ht="18" customHeight="1" x14ac:dyDescent="0.2">
      <c r="E1" s="53">
        <v>4</v>
      </c>
      <c r="F1" s="53">
        <v>5</v>
      </c>
      <c r="G1" s="53">
        <v>6</v>
      </c>
      <c r="M1" s="53">
        <v>10</v>
      </c>
      <c r="N1" s="53">
        <v>11</v>
      </c>
      <c r="O1" s="53">
        <v>12</v>
      </c>
      <c r="U1" s="53">
        <v>18</v>
      </c>
      <c r="V1" s="53">
        <v>19</v>
      </c>
      <c r="W1" s="53">
        <v>20</v>
      </c>
      <c r="Y1" s="53">
        <v>21</v>
      </c>
      <c r="AA1" s="53">
        <v>16</v>
      </c>
      <c r="AB1" s="53">
        <v>17</v>
      </c>
    </row>
    <row r="2" spans="2:28" ht="19.5" customHeight="1" x14ac:dyDescent="0.2">
      <c r="B2" s="5" t="s">
        <v>0</v>
      </c>
      <c r="C2" s="182" t="s">
        <v>1</v>
      </c>
      <c r="D2" s="182"/>
      <c r="E2" s="13"/>
      <c r="F2" s="13"/>
      <c r="H2" s="7"/>
      <c r="I2" s="7"/>
      <c r="J2" s="7"/>
      <c r="K2" s="7"/>
      <c r="L2" s="7"/>
      <c r="M2" s="8"/>
    </row>
    <row r="3" spans="2:28" ht="27" customHeight="1" x14ac:dyDescent="0.2">
      <c r="B3" s="5"/>
      <c r="C3" s="182"/>
      <c r="D3" s="182"/>
      <c r="E3" s="13"/>
      <c r="F3" s="13"/>
      <c r="H3" s="7"/>
      <c r="I3" s="7"/>
      <c r="J3" s="7"/>
      <c r="K3" s="7"/>
      <c r="L3" s="7"/>
      <c r="M3" s="8"/>
    </row>
    <row r="4" spans="2:28" ht="55.5" customHeight="1" x14ac:dyDescent="0.15">
      <c r="B4" s="110" t="s">
        <v>2</v>
      </c>
      <c r="C4" s="190" t="s">
        <v>3</v>
      </c>
      <c r="D4" s="190"/>
      <c r="E4" s="15"/>
      <c r="F4" s="15"/>
      <c r="H4" s="7"/>
      <c r="I4" s="7"/>
      <c r="J4" s="7"/>
      <c r="K4" s="7"/>
      <c r="L4" s="7"/>
      <c r="M4" s="6"/>
    </row>
    <row r="5" spans="2:28" ht="12.75" customHeight="1" x14ac:dyDescent="0.15">
      <c r="B5" s="5"/>
      <c r="C5" s="15"/>
      <c r="D5" s="15"/>
      <c r="E5" s="15"/>
      <c r="F5" s="15"/>
      <c r="H5" s="7"/>
      <c r="I5" s="7"/>
      <c r="J5" s="7"/>
      <c r="K5" s="7"/>
      <c r="L5" s="7"/>
    </row>
    <row r="6" spans="2:28" ht="16" x14ac:dyDescent="0.2">
      <c r="B6" s="5" t="s">
        <v>4</v>
      </c>
      <c r="C6" s="16" t="s">
        <v>875</v>
      </c>
      <c r="D6" s="16"/>
      <c r="E6" s="16"/>
      <c r="F6" s="12"/>
      <c r="H6" s="7"/>
      <c r="I6" s="7"/>
      <c r="J6" s="7"/>
      <c r="K6" s="7"/>
      <c r="L6" s="7"/>
    </row>
    <row r="7" spans="2:28" ht="14" x14ac:dyDescent="0.15">
      <c r="B7" s="5" t="s">
        <v>5</v>
      </c>
      <c r="C7" s="17" t="s">
        <v>6</v>
      </c>
      <c r="D7" s="17"/>
      <c r="E7" s="17"/>
      <c r="H7" s="7"/>
      <c r="I7" s="7"/>
      <c r="J7" s="7"/>
      <c r="K7" s="7"/>
      <c r="L7" s="7"/>
    </row>
    <row r="8" spans="2:28" ht="12.75" customHeight="1" x14ac:dyDescent="0.15">
      <c r="B8" s="5" t="s">
        <v>7</v>
      </c>
      <c r="C8" s="3" t="s">
        <v>8</v>
      </c>
      <c r="H8" s="7"/>
      <c r="I8" s="7"/>
      <c r="J8" s="7"/>
      <c r="K8" s="7"/>
      <c r="L8" s="7"/>
    </row>
    <row r="9" spans="2:28" ht="12.75" customHeight="1" x14ac:dyDescent="0.15">
      <c r="B9" s="5" t="s">
        <v>9</v>
      </c>
      <c r="C9" s="3" t="s">
        <v>853</v>
      </c>
      <c r="H9" s="26"/>
      <c r="I9" s="26"/>
      <c r="J9" s="26"/>
      <c r="K9" s="26"/>
      <c r="L9" s="7"/>
    </row>
    <row r="10" spans="2:28" ht="12.75" customHeight="1" x14ac:dyDescent="0.15">
      <c r="B10" s="5" t="s">
        <v>10</v>
      </c>
      <c r="C10" s="18"/>
      <c r="D10" s="18"/>
      <c r="E10" s="18"/>
      <c r="H10" s="7"/>
      <c r="I10" s="7"/>
      <c r="J10" s="7"/>
      <c r="K10" s="7"/>
      <c r="L10" s="7"/>
    </row>
    <row r="11" spans="2:28" ht="12.75" customHeight="1" x14ac:dyDescent="0.15">
      <c r="B11" s="5" t="s">
        <v>11</v>
      </c>
      <c r="C11" s="3" t="s">
        <v>12</v>
      </c>
      <c r="H11" s="7"/>
      <c r="I11" s="7"/>
      <c r="J11" s="7"/>
      <c r="K11" s="7"/>
      <c r="L11" s="7"/>
    </row>
    <row r="12" spans="2:28" ht="12.75" customHeight="1" x14ac:dyDescent="0.15">
      <c r="B12" s="5" t="s">
        <v>13</v>
      </c>
      <c r="C12" s="3" t="s">
        <v>14</v>
      </c>
      <c r="H12" s="9"/>
      <c r="I12" s="9"/>
      <c r="J12" s="9"/>
      <c r="K12" s="9"/>
      <c r="L12" s="9"/>
    </row>
    <row r="13" spans="2:28" x14ac:dyDescent="0.15">
      <c r="B13" s="5"/>
    </row>
    <row r="14" spans="2:28" ht="16" x14ac:dyDescent="0.2">
      <c r="B14" s="14" t="s">
        <v>681</v>
      </c>
      <c r="E14" s="27"/>
      <c r="F14" s="27"/>
      <c r="G14" s="27"/>
      <c r="H14" s="27"/>
      <c r="I14" s="27"/>
      <c r="J14" s="27"/>
      <c r="K14" s="27"/>
      <c r="L14" s="27"/>
      <c r="M14" s="27"/>
      <c r="N14" s="27"/>
      <c r="O14" s="27"/>
      <c r="P14" s="27"/>
      <c r="Q14" s="27"/>
      <c r="R14" s="27"/>
      <c r="S14" s="27"/>
      <c r="T14" s="27"/>
      <c r="U14" s="27"/>
      <c r="V14" s="27"/>
      <c r="W14" s="27"/>
      <c r="X14" s="27"/>
      <c r="Y14" s="27"/>
      <c r="Z14" s="27"/>
      <c r="AA14" s="27"/>
      <c r="AB14" s="27"/>
    </row>
    <row r="15" spans="2:28" ht="30" customHeight="1" x14ac:dyDescent="0.2">
      <c r="B15" s="14"/>
      <c r="C15" s="19"/>
      <c r="D15" s="19"/>
      <c r="E15" s="184" t="s">
        <v>16</v>
      </c>
      <c r="F15" s="185"/>
      <c r="G15" s="185"/>
      <c r="H15" s="186"/>
      <c r="I15" s="187" t="s">
        <v>682</v>
      </c>
      <c r="J15" s="188"/>
      <c r="K15" s="188"/>
      <c r="L15" s="189"/>
      <c r="M15" s="187" t="s">
        <v>683</v>
      </c>
      <c r="N15" s="188"/>
      <c r="O15" s="188"/>
      <c r="P15" s="188"/>
      <c r="Q15" s="187" t="s">
        <v>19</v>
      </c>
      <c r="R15" s="188"/>
      <c r="S15" s="188"/>
      <c r="T15" s="189"/>
      <c r="U15" s="183" t="s">
        <v>20</v>
      </c>
      <c r="V15" s="183"/>
      <c r="W15" s="183"/>
      <c r="X15" s="183"/>
      <c r="Y15" s="183"/>
      <c r="Z15" s="183"/>
      <c r="AA15" s="183"/>
      <c r="AB15" s="183"/>
    </row>
    <row r="16" spans="2:28" s="25" customFormat="1" ht="65.25" customHeight="1" x14ac:dyDescent="0.15">
      <c r="B16" s="23" t="s">
        <v>21</v>
      </c>
      <c r="C16" s="23" t="s">
        <v>684</v>
      </c>
      <c r="D16" s="23" t="s">
        <v>128</v>
      </c>
      <c r="E16" s="24" t="s">
        <v>23</v>
      </c>
      <c r="F16" s="24" t="s">
        <v>24</v>
      </c>
      <c r="G16" s="24" t="s">
        <v>25</v>
      </c>
      <c r="H16" s="24" t="s">
        <v>26</v>
      </c>
      <c r="I16" s="24" t="s">
        <v>23</v>
      </c>
      <c r="J16" s="24" t="s">
        <v>24</v>
      </c>
      <c r="K16" s="24" t="s">
        <v>25</v>
      </c>
      <c r="L16" s="24" t="s">
        <v>27</v>
      </c>
      <c r="M16" s="24" t="s">
        <v>23</v>
      </c>
      <c r="N16" s="24" t="s">
        <v>24</v>
      </c>
      <c r="O16" s="24" t="s">
        <v>25</v>
      </c>
      <c r="P16" s="24" t="s">
        <v>28</v>
      </c>
      <c r="Q16" s="24" t="s">
        <v>29</v>
      </c>
      <c r="R16" s="24" t="s">
        <v>30</v>
      </c>
      <c r="S16" s="24" t="s">
        <v>31</v>
      </c>
      <c r="T16" s="24" t="s">
        <v>32</v>
      </c>
      <c r="U16" s="24" t="s">
        <v>33</v>
      </c>
      <c r="V16" s="24" t="s">
        <v>34</v>
      </c>
      <c r="W16" s="24" t="s">
        <v>35</v>
      </c>
      <c r="X16" s="24" t="s">
        <v>36</v>
      </c>
      <c r="Y16" s="24" t="s">
        <v>37</v>
      </c>
      <c r="Z16" s="24" t="s">
        <v>38</v>
      </c>
      <c r="AA16" s="24" t="s">
        <v>39</v>
      </c>
      <c r="AB16" s="24" t="s">
        <v>40</v>
      </c>
    </row>
    <row r="17" spans="2:29" x14ac:dyDescent="0.15">
      <c r="B17" s="1" t="s">
        <v>41</v>
      </c>
      <c r="C17" s="1" t="s">
        <v>41</v>
      </c>
      <c r="D17" s="44" t="s">
        <v>685</v>
      </c>
      <c r="E17" s="2">
        <v>1475440</v>
      </c>
      <c r="F17" s="2">
        <v>55014</v>
      </c>
      <c r="G17" s="2">
        <v>839337</v>
      </c>
      <c r="H17" s="2">
        <v>2369791</v>
      </c>
      <c r="I17" s="2">
        <v>890810</v>
      </c>
      <c r="J17" s="2">
        <v>51955</v>
      </c>
      <c r="K17" s="2">
        <v>808867</v>
      </c>
      <c r="L17" s="2">
        <v>1751632</v>
      </c>
      <c r="M17" s="2">
        <v>584630</v>
      </c>
      <c r="N17" s="2">
        <v>3059</v>
      </c>
      <c r="O17" s="2">
        <v>30470</v>
      </c>
      <c r="P17" s="2">
        <v>618159</v>
      </c>
      <c r="Q17" s="61">
        <v>0.73915041453022645</v>
      </c>
      <c r="R17" s="61">
        <v>0.60375887870736866</v>
      </c>
      <c r="S17" s="61">
        <v>0.94439597193441671</v>
      </c>
      <c r="T17" s="61">
        <v>0.96369753746111519</v>
      </c>
      <c r="U17" s="2">
        <v>394675</v>
      </c>
      <c r="V17" s="2">
        <v>1534</v>
      </c>
      <c r="W17" s="2">
        <v>5107</v>
      </c>
      <c r="X17" s="2">
        <v>401316</v>
      </c>
      <c r="Y17" s="2">
        <v>134842</v>
      </c>
      <c r="Z17" s="2">
        <v>536158</v>
      </c>
      <c r="AA17" s="2">
        <v>129199</v>
      </c>
      <c r="AB17" s="2">
        <v>50582</v>
      </c>
    </row>
    <row r="18" spans="2:29" ht="6.75" customHeight="1" x14ac:dyDescent="0.15">
      <c r="C18" s="11"/>
      <c r="D18" s="11"/>
      <c r="E18" s="11"/>
      <c r="F18" s="11"/>
      <c r="G18" s="11"/>
      <c r="H18" s="11"/>
      <c r="I18" s="11"/>
      <c r="J18" s="11"/>
      <c r="K18" s="11"/>
      <c r="L18" s="11"/>
      <c r="M18" s="11"/>
      <c r="N18" s="11"/>
      <c r="O18" s="11"/>
      <c r="P18" s="28"/>
      <c r="Q18" s="11"/>
      <c r="R18" s="11"/>
      <c r="S18" s="11"/>
      <c r="T18" s="28"/>
      <c r="U18" s="11"/>
      <c r="V18" s="11"/>
      <c r="W18" s="11"/>
      <c r="X18" s="28"/>
      <c r="Y18" s="11"/>
      <c r="Z18" s="28"/>
      <c r="AA18" s="11"/>
      <c r="AB18" s="11"/>
    </row>
    <row r="19" spans="2:29" x14ac:dyDescent="0.15">
      <c r="B19" s="47" t="s">
        <v>283</v>
      </c>
      <c r="C19" s="47" t="s">
        <v>874</v>
      </c>
      <c r="D19" s="29" t="s">
        <v>285</v>
      </c>
      <c r="E19" s="30">
        <v>18509</v>
      </c>
      <c r="F19" s="30">
        <v>0</v>
      </c>
      <c r="G19" s="30">
        <v>8667</v>
      </c>
      <c r="H19" s="30">
        <v>27176</v>
      </c>
      <c r="I19" s="30">
        <v>11566</v>
      </c>
      <c r="J19" s="30">
        <v>0</v>
      </c>
      <c r="K19" s="30">
        <v>8667</v>
      </c>
      <c r="L19" s="30">
        <v>20233</v>
      </c>
      <c r="M19" s="30">
        <v>6943</v>
      </c>
      <c r="N19" s="30">
        <v>0</v>
      </c>
      <c r="O19" s="30">
        <v>0</v>
      </c>
      <c r="P19" s="30">
        <v>6943</v>
      </c>
      <c r="Q19" s="55">
        <v>0.74451722107742124</v>
      </c>
      <c r="R19" s="55">
        <v>0.62488519098816797</v>
      </c>
      <c r="S19" s="55" t="s">
        <v>41</v>
      </c>
      <c r="T19" s="55">
        <v>1</v>
      </c>
      <c r="U19" s="115">
        <v>5154</v>
      </c>
      <c r="V19" s="115">
        <v>0</v>
      </c>
      <c r="W19" s="115">
        <v>0</v>
      </c>
      <c r="X19" s="115">
        <v>5154</v>
      </c>
      <c r="Y19" s="115">
        <v>2480</v>
      </c>
      <c r="Z19" s="115">
        <v>7634</v>
      </c>
      <c r="AA19" s="115">
        <v>166</v>
      </c>
      <c r="AB19" s="115">
        <v>85</v>
      </c>
      <c r="AC19" s="10" t="s">
        <v>809</v>
      </c>
    </row>
    <row r="20" spans="2:29" x14ac:dyDescent="0.15">
      <c r="B20" s="105" t="s">
        <v>302</v>
      </c>
      <c r="C20" s="105" t="s">
        <v>874</v>
      </c>
      <c r="D20" s="32" t="s">
        <v>303</v>
      </c>
      <c r="E20" s="33">
        <v>11809</v>
      </c>
      <c r="F20" s="33">
        <v>0</v>
      </c>
      <c r="G20" s="33">
        <v>5629</v>
      </c>
      <c r="H20" s="33">
        <v>17438</v>
      </c>
      <c r="I20" s="33">
        <v>6325</v>
      </c>
      <c r="J20" s="33">
        <v>0</v>
      </c>
      <c r="K20" s="33">
        <v>5538</v>
      </c>
      <c r="L20" s="33">
        <v>11863</v>
      </c>
      <c r="M20" s="33">
        <v>5484</v>
      </c>
      <c r="N20" s="33">
        <v>0</v>
      </c>
      <c r="O20" s="33">
        <v>91</v>
      </c>
      <c r="P20" s="33">
        <v>5575</v>
      </c>
      <c r="Q20" s="56">
        <v>0.6802959054937493</v>
      </c>
      <c r="R20" s="56">
        <v>0.53560843424506732</v>
      </c>
      <c r="S20" s="56" t="s">
        <v>41</v>
      </c>
      <c r="T20" s="56">
        <v>0.9838337182448037</v>
      </c>
      <c r="U20" s="116">
        <v>3007</v>
      </c>
      <c r="V20" s="116">
        <v>0</v>
      </c>
      <c r="W20" s="116">
        <v>35</v>
      </c>
      <c r="X20" s="116">
        <v>3042</v>
      </c>
      <c r="Y20" s="116">
        <v>422</v>
      </c>
      <c r="Z20" s="116">
        <v>3464</v>
      </c>
      <c r="AA20" s="116">
        <v>784</v>
      </c>
      <c r="AB20" s="116">
        <v>262</v>
      </c>
      <c r="AC20" s="10" t="s">
        <v>809</v>
      </c>
    </row>
    <row r="21" spans="2:29" x14ac:dyDescent="0.15">
      <c r="B21" s="105" t="s">
        <v>320</v>
      </c>
      <c r="C21" s="105" t="s">
        <v>874</v>
      </c>
      <c r="D21" s="32" t="s">
        <v>865</v>
      </c>
      <c r="E21" s="33">
        <v>9588</v>
      </c>
      <c r="F21" s="33">
        <v>0</v>
      </c>
      <c r="G21" s="33">
        <v>9229</v>
      </c>
      <c r="H21" s="33">
        <v>18817</v>
      </c>
      <c r="I21" s="33">
        <v>4512</v>
      </c>
      <c r="J21" s="33">
        <v>0</v>
      </c>
      <c r="K21" s="33">
        <v>9107</v>
      </c>
      <c r="L21" s="33">
        <v>13619</v>
      </c>
      <c r="M21" s="33">
        <v>5076</v>
      </c>
      <c r="N21" s="33">
        <v>0</v>
      </c>
      <c r="O21" s="33">
        <v>122</v>
      </c>
      <c r="P21" s="33">
        <v>5198</v>
      </c>
      <c r="Q21" s="56">
        <v>0.7237604293989478</v>
      </c>
      <c r="R21" s="56">
        <v>0.47058823529411764</v>
      </c>
      <c r="S21" s="56" t="s">
        <v>41</v>
      </c>
      <c r="T21" s="56">
        <v>0.98678079965326693</v>
      </c>
      <c r="U21" s="116">
        <v>2198</v>
      </c>
      <c r="V21" s="116">
        <v>0</v>
      </c>
      <c r="W21" s="116">
        <v>3</v>
      </c>
      <c r="X21" s="116">
        <v>2201</v>
      </c>
      <c r="Y21" s="116">
        <v>425</v>
      </c>
      <c r="Z21" s="116">
        <v>2626</v>
      </c>
      <c r="AA21" s="116">
        <v>526</v>
      </c>
      <c r="AB21" s="116">
        <v>89</v>
      </c>
      <c r="AC21" s="10" t="s">
        <v>809</v>
      </c>
    </row>
    <row r="22" spans="2:29" x14ac:dyDescent="0.15">
      <c r="B22" s="105" t="s">
        <v>396</v>
      </c>
      <c r="C22" s="105" t="s">
        <v>874</v>
      </c>
      <c r="D22" s="32" t="s">
        <v>397</v>
      </c>
      <c r="E22" s="33">
        <v>12846</v>
      </c>
      <c r="F22" s="33">
        <v>0</v>
      </c>
      <c r="G22" s="33">
        <v>12888</v>
      </c>
      <c r="H22" s="33">
        <v>25734</v>
      </c>
      <c r="I22" s="33">
        <v>7552</v>
      </c>
      <c r="J22" s="33">
        <v>0</v>
      </c>
      <c r="K22" s="33">
        <v>11936</v>
      </c>
      <c r="L22" s="33">
        <v>19488</v>
      </c>
      <c r="M22" s="33">
        <v>5294</v>
      </c>
      <c r="N22" s="33">
        <v>0</v>
      </c>
      <c r="O22" s="33">
        <v>952</v>
      </c>
      <c r="P22" s="33">
        <v>6246</v>
      </c>
      <c r="Q22" s="56">
        <v>0.75728608067148517</v>
      </c>
      <c r="R22" s="56">
        <v>0.58788728008718671</v>
      </c>
      <c r="S22" s="56" t="s">
        <v>41</v>
      </c>
      <c r="T22" s="56">
        <v>0.92613283674736191</v>
      </c>
      <c r="U22" s="116">
        <v>5016</v>
      </c>
      <c r="V22" s="116">
        <v>0</v>
      </c>
      <c r="W22" s="116">
        <v>1</v>
      </c>
      <c r="X22" s="116">
        <v>5017</v>
      </c>
      <c r="Y22" s="116">
        <v>220</v>
      </c>
      <c r="Z22" s="116">
        <v>5237</v>
      </c>
      <c r="AA22" s="116">
        <v>1471</v>
      </c>
      <c r="AB22" s="116">
        <v>858</v>
      </c>
      <c r="AC22" s="10" t="s">
        <v>812</v>
      </c>
    </row>
    <row r="23" spans="2:29" x14ac:dyDescent="0.15">
      <c r="B23" s="105" t="s">
        <v>322</v>
      </c>
      <c r="C23" s="105" t="s">
        <v>874</v>
      </c>
      <c r="D23" s="32" t="s">
        <v>323</v>
      </c>
      <c r="E23" s="33">
        <v>0</v>
      </c>
      <c r="F23" s="33">
        <v>0</v>
      </c>
      <c r="G23" s="33">
        <v>1195</v>
      </c>
      <c r="H23" s="33">
        <v>1195</v>
      </c>
      <c r="I23" s="33">
        <v>0</v>
      </c>
      <c r="J23" s="33">
        <v>0</v>
      </c>
      <c r="K23" s="33">
        <v>1129</v>
      </c>
      <c r="L23" s="33">
        <v>1129</v>
      </c>
      <c r="M23" s="33">
        <v>0</v>
      </c>
      <c r="N23" s="33">
        <v>0</v>
      </c>
      <c r="O23" s="33">
        <v>66</v>
      </c>
      <c r="P23" s="33">
        <v>66</v>
      </c>
      <c r="Q23" s="56">
        <v>0.94476987447698746</v>
      </c>
      <c r="R23" s="56" t="s">
        <v>41</v>
      </c>
      <c r="S23" s="56" t="s">
        <v>41</v>
      </c>
      <c r="T23" s="56">
        <v>0.94476987447698746</v>
      </c>
      <c r="U23" s="116">
        <v>0</v>
      </c>
      <c r="V23" s="116">
        <v>0</v>
      </c>
      <c r="W23" s="116">
        <v>0</v>
      </c>
      <c r="X23" s="116">
        <v>0</v>
      </c>
      <c r="Y23" s="116">
        <v>0</v>
      </c>
      <c r="Z23" s="116">
        <v>0</v>
      </c>
      <c r="AA23" s="116">
        <v>0</v>
      </c>
      <c r="AB23" s="116">
        <v>0</v>
      </c>
      <c r="AC23" s="10" t="s">
        <v>809</v>
      </c>
    </row>
    <row r="24" spans="2:29" x14ac:dyDescent="0.15">
      <c r="B24" s="105" t="s">
        <v>321</v>
      </c>
      <c r="C24" s="105" t="s">
        <v>874</v>
      </c>
      <c r="D24" s="32" t="s">
        <v>757</v>
      </c>
      <c r="E24" s="33">
        <v>0</v>
      </c>
      <c r="F24" s="33">
        <v>0</v>
      </c>
      <c r="G24" s="33">
        <v>2328</v>
      </c>
      <c r="H24" s="33">
        <v>2328</v>
      </c>
      <c r="I24" s="33">
        <v>0</v>
      </c>
      <c r="J24" s="33">
        <v>0</v>
      </c>
      <c r="K24" s="33">
        <v>2208</v>
      </c>
      <c r="L24" s="33">
        <v>2208</v>
      </c>
      <c r="M24" s="33">
        <v>0</v>
      </c>
      <c r="N24" s="33">
        <v>0</v>
      </c>
      <c r="O24" s="33">
        <v>120</v>
      </c>
      <c r="P24" s="33">
        <v>120</v>
      </c>
      <c r="Q24" s="56">
        <v>0.94845360824742264</v>
      </c>
      <c r="R24" s="56" t="s">
        <v>41</v>
      </c>
      <c r="S24" s="56" t="s">
        <v>41</v>
      </c>
      <c r="T24" s="56">
        <v>0.94845360824742264</v>
      </c>
      <c r="U24" s="116">
        <v>0</v>
      </c>
      <c r="V24" s="116">
        <v>0</v>
      </c>
      <c r="W24" s="116">
        <v>0</v>
      </c>
      <c r="X24" s="116">
        <v>0</v>
      </c>
      <c r="Y24" s="116">
        <v>0</v>
      </c>
      <c r="Z24" s="116">
        <v>0</v>
      </c>
      <c r="AA24" s="116">
        <v>0</v>
      </c>
      <c r="AB24" s="116">
        <v>0</v>
      </c>
      <c r="AC24" s="10" t="s">
        <v>809</v>
      </c>
    </row>
    <row r="25" spans="2:29" x14ac:dyDescent="0.15">
      <c r="B25" s="105" t="s">
        <v>368</v>
      </c>
      <c r="C25" s="105" t="s">
        <v>874</v>
      </c>
      <c r="D25" s="32" t="s">
        <v>369</v>
      </c>
      <c r="E25" s="33">
        <v>7874</v>
      </c>
      <c r="F25" s="33">
        <v>0</v>
      </c>
      <c r="G25" s="33">
        <v>1582</v>
      </c>
      <c r="H25" s="33">
        <v>9456</v>
      </c>
      <c r="I25" s="33">
        <v>4655</v>
      </c>
      <c r="J25" s="33">
        <v>0</v>
      </c>
      <c r="K25" s="33">
        <v>1582</v>
      </c>
      <c r="L25" s="33">
        <v>6237</v>
      </c>
      <c r="M25" s="33">
        <v>3219</v>
      </c>
      <c r="N25" s="33">
        <v>0</v>
      </c>
      <c r="O25" s="33">
        <v>0</v>
      </c>
      <c r="P25" s="33">
        <v>3219</v>
      </c>
      <c r="Q25" s="56">
        <v>0.65958121827411165</v>
      </c>
      <c r="R25" s="56">
        <v>0.59118618237236475</v>
      </c>
      <c r="S25" s="56" t="s">
        <v>41</v>
      </c>
      <c r="T25" s="56">
        <v>1</v>
      </c>
      <c r="U25" s="116">
        <v>1692</v>
      </c>
      <c r="V25" s="116">
        <v>0</v>
      </c>
      <c r="W25" s="116">
        <v>0</v>
      </c>
      <c r="X25" s="116">
        <v>1692</v>
      </c>
      <c r="Y25" s="116">
        <v>461</v>
      </c>
      <c r="Z25" s="116">
        <v>2153</v>
      </c>
      <c r="AA25" s="116">
        <v>1034</v>
      </c>
      <c r="AB25" s="116">
        <v>423</v>
      </c>
      <c r="AC25" s="10" t="s">
        <v>812</v>
      </c>
    </row>
    <row r="26" spans="2:29" x14ac:dyDescent="0.15">
      <c r="B26" s="105" t="s">
        <v>364</v>
      </c>
      <c r="C26" s="105" t="s">
        <v>874</v>
      </c>
      <c r="D26" s="32" t="s">
        <v>811</v>
      </c>
      <c r="E26" s="33">
        <v>28595</v>
      </c>
      <c r="F26" s="33">
        <v>0</v>
      </c>
      <c r="G26" s="33">
        <v>8495</v>
      </c>
      <c r="H26" s="33">
        <v>37090</v>
      </c>
      <c r="I26" s="33">
        <v>17669</v>
      </c>
      <c r="J26" s="33">
        <v>0</v>
      </c>
      <c r="K26" s="33">
        <v>8134</v>
      </c>
      <c r="L26" s="33">
        <v>25803</v>
      </c>
      <c r="M26" s="33">
        <v>10926</v>
      </c>
      <c r="N26" s="33">
        <v>0</v>
      </c>
      <c r="O26" s="33">
        <v>361</v>
      </c>
      <c r="P26" s="33">
        <v>11287</v>
      </c>
      <c r="Q26" s="56">
        <v>0.69568616877864653</v>
      </c>
      <c r="R26" s="56">
        <v>0.61790522818674598</v>
      </c>
      <c r="S26" s="56" t="s">
        <v>41</v>
      </c>
      <c r="T26" s="56">
        <v>0.957504414361389</v>
      </c>
      <c r="U26" s="116">
        <v>9218</v>
      </c>
      <c r="V26" s="116">
        <v>0</v>
      </c>
      <c r="W26" s="116">
        <v>164</v>
      </c>
      <c r="X26" s="116">
        <v>9382</v>
      </c>
      <c r="Y26" s="116">
        <v>1161</v>
      </c>
      <c r="Z26" s="116">
        <v>10543</v>
      </c>
      <c r="AA26" s="116">
        <v>3299</v>
      </c>
      <c r="AB26" s="116">
        <v>1371</v>
      </c>
      <c r="AC26" s="10" t="s">
        <v>810</v>
      </c>
    </row>
    <row r="27" spans="2:29" x14ac:dyDescent="0.15">
      <c r="B27" s="105" t="s">
        <v>288</v>
      </c>
      <c r="C27" s="105" t="s">
        <v>874</v>
      </c>
      <c r="D27" s="32" t="s">
        <v>289</v>
      </c>
      <c r="E27" s="33">
        <v>8594</v>
      </c>
      <c r="F27" s="33">
        <v>0</v>
      </c>
      <c r="G27" s="33">
        <v>5871</v>
      </c>
      <c r="H27" s="33">
        <v>14465</v>
      </c>
      <c r="I27" s="33">
        <v>4400</v>
      </c>
      <c r="J27" s="33">
        <v>0</v>
      </c>
      <c r="K27" s="33">
        <v>5761</v>
      </c>
      <c r="L27" s="33">
        <v>10161</v>
      </c>
      <c r="M27" s="33">
        <v>4194</v>
      </c>
      <c r="N27" s="33">
        <v>0</v>
      </c>
      <c r="O27" s="33">
        <v>110</v>
      </c>
      <c r="P27" s="33">
        <v>4304</v>
      </c>
      <c r="Q27" s="56">
        <v>0.70245419979260282</v>
      </c>
      <c r="R27" s="56">
        <v>0.51198510588782875</v>
      </c>
      <c r="S27" s="56" t="s">
        <v>41</v>
      </c>
      <c r="T27" s="56">
        <v>0.98126383920967464</v>
      </c>
      <c r="U27" s="116">
        <v>2624</v>
      </c>
      <c r="V27" s="116">
        <v>0</v>
      </c>
      <c r="W27" s="116">
        <v>0</v>
      </c>
      <c r="X27" s="116">
        <v>2624</v>
      </c>
      <c r="Y27" s="116">
        <v>424</v>
      </c>
      <c r="Z27" s="116">
        <v>3048</v>
      </c>
      <c r="AA27" s="116">
        <v>1105</v>
      </c>
      <c r="AB27" s="116">
        <v>2</v>
      </c>
      <c r="AC27" s="10" t="s">
        <v>809</v>
      </c>
    </row>
    <row r="28" spans="2:29" x14ac:dyDescent="0.15">
      <c r="B28" s="105" t="s">
        <v>370</v>
      </c>
      <c r="C28" s="105" t="s">
        <v>874</v>
      </c>
      <c r="D28" s="32" t="s">
        <v>713</v>
      </c>
      <c r="E28" s="33">
        <v>13687</v>
      </c>
      <c r="F28" s="33">
        <v>0</v>
      </c>
      <c r="G28" s="33">
        <v>8042</v>
      </c>
      <c r="H28" s="33">
        <v>21729</v>
      </c>
      <c r="I28" s="33">
        <v>9311</v>
      </c>
      <c r="J28" s="33">
        <v>0</v>
      </c>
      <c r="K28" s="33">
        <v>8035</v>
      </c>
      <c r="L28" s="33">
        <v>17346</v>
      </c>
      <c r="M28" s="33">
        <v>4376</v>
      </c>
      <c r="N28" s="33">
        <v>0</v>
      </c>
      <c r="O28" s="33">
        <v>7</v>
      </c>
      <c r="P28" s="33">
        <v>4383</v>
      </c>
      <c r="Q28" s="56">
        <v>0.7982880022090294</v>
      </c>
      <c r="R28" s="56">
        <v>0.68028055819390665</v>
      </c>
      <c r="S28" s="56" t="s">
        <v>41</v>
      </c>
      <c r="T28" s="56">
        <v>0.99912956975876643</v>
      </c>
      <c r="U28" s="116">
        <v>2331</v>
      </c>
      <c r="V28" s="116">
        <v>0</v>
      </c>
      <c r="W28" s="116">
        <v>0</v>
      </c>
      <c r="X28" s="116">
        <v>2331</v>
      </c>
      <c r="Y28" s="116">
        <v>1562</v>
      </c>
      <c r="Z28" s="116">
        <v>3893</v>
      </c>
      <c r="AA28" s="116">
        <v>1052</v>
      </c>
      <c r="AB28" s="116">
        <v>287</v>
      </c>
      <c r="AC28" s="10" t="s">
        <v>812</v>
      </c>
    </row>
    <row r="29" spans="2:29" x14ac:dyDescent="0.15">
      <c r="B29" s="105" t="s">
        <v>306</v>
      </c>
      <c r="C29" s="105" t="s">
        <v>874</v>
      </c>
      <c r="D29" s="32" t="s">
        <v>714</v>
      </c>
      <c r="E29" s="33">
        <v>17648</v>
      </c>
      <c r="F29" s="33">
        <v>0</v>
      </c>
      <c r="G29" s="33">
        <v>3603</v>
      </c>
      <c r="H29" s="33">
        <v>21251</v>
      </c>
      <c r="I29" s="33">
        <v>10751</v>
      </c>
      <c r="J29" s="33">
        <v>0</v>
      </c>
      <c r="K29" s="33">
        <v>3350</v>
      </c>
      <c r="L29" s="33">
        <v>14101</v>
      </c>
      <c r="M29" s="33">
        <v>6897</v>
      </c>
      <c r="N29" s="33">
        <v>0</v>
      </c>
      <c r="O29" s="33">
        <v>253</v>
      </c>
      <c r="P29" s="33">
        <v>7150</v>
      </c>
      <c r="Q29" s="56">
        <v>0.66354524492965039</v>
      </c>
      <c r="R29" s="56">
        <v>0.60919084315503169</v>
      </c>
      <c r="S29" s="56" t="s">
        <v>41</v>
      </c>
      <c r="T29" s="56">
        <v>0.92978073827366081</v>
      </c>
      <c r="U29" s="116">
        <v>4078</v>
      </c>
      <c r="V29" s="116">
        <v>0</v>
      </c>
      <c r="W29" s="116">
        <v>30</v>
      </c>
      <c r="X29" s="116">
        <v>4108</v>
      </c>
      <c r="Y29" s="116">
        <v>1434</v>
      </c>
      <c r="Z29" s="116">
        <v>5542</v>
      </c>
      <c r="AA29" s="116">
        <v>1238</v>
      </c>
      <c r="AB29" s="116">
        <v>705</v>
      </c>
      <c r="AC29" s="10" t="s">
        <v>809</v>
      </c>
    </row>
    <row r="30" spans="2:29" x14ac:dyDescent="0.15">
      <c r="B30" s="105" t="s">
        <v>290</v>
      </c>
      <c r="C30" s="105" t="s">
        <v>874</v>
      </c>
      <c r="D30" s="32" t="s">
        <v>857</v>
      </c>
      <c r="E30" s="33">
        <v>0</v>
      </c>
      <c r="F30" s="33">
        <v>0</v>
      </c>
      <c r="G30" s="33">
        <v>2335</v>
      </c>
      <c r="H30" s="33">
        <v>2335</v>
      </c>
      <c r="I30" s="33">
        <v>0</v>
      </c>
      <c r="J30" s="33">
        <v>0</v>
      </c>
      <c r="K30" s="33">
        <v>2335</v>
      </c>
      <c r="L30" s="33">
        <v>2335</v>
      </c>
      <c r="M30" s="33">
        <v>0</v>
      </c>
      <c r="N30" s="33">
        <v>0</v>
      </c>
      <c r="O30" s="33">
        <v>0</v>
      </c>
      <c r="P30" s="33">
        <v>0</v>
      </c>
      <c r="Q30" s="56">
        <v>1</v>
      </c>
      <c r="R30" s="56" t="s">
        <v>41</v>
      </c>
      <c r="S30" s="56" t="s">
        <v>41</v>
      </c>
      <c r="T30" s="56">
        <v>1</v>
      </c>
      <c r="U30" s="116">
        <v>0</v>
      </c>
      <c r="V30" s="116">
        <v>0</v>
      </c>
      <c r="W30" s="116">
        <v>0</v>
      </c>
      <c r="X30" s="116">
        <v>0</v>
      </c>
      <c r="Y30" s="116">
        <v>0</v>
      </c>
      <c r="Z30" s="116">
        <v>0</v>
      </c>
      <c r="AA30" s="116">
        <v>0</v>
      </c>
      <c r="AB30" s="116">
        <v>0</v>
      </c>
      <c r="AC30" s="10" t="s">
        <v>809</v>
      </c>
    </row>
    <row r="31" spans="2:29" x14ac:dyDescent="0.15">
      <c r="B31" s="105" t="s">
        <v>324</v>
      </c>
      <c r="C31" s="105" t="s">
        <v>874</v>
      </c>
      <c r="D31" s="32" t="s">
        <v>325</v>
      </c>
      <c r="E31" s="33">
        <v>9234</v>
      </c>
      <c r="F31" s="33">
        <v>0</v>
      </c>
      <c r="G31" s="33">
        <v>2080</v>
      </c>
      <c r="H31" s="33">
        <v>11314</v>
      </c>
      <c r="I31" s="33">
        <v>6590</v>
      </c>
      <c r="J31" s="33">
        <v>0</v>
      </c>
      <c r="K31" s="33">
        <v>2080</v>
      </c>
      <c r="L31" s="33">
        <v>8670</v>
      </c>
      <c r="M31" s="33">
        <v>2644</v>
      </c>
      <c r="N31" s="33">
        <v>0</v>
      </c>
      <c r="O31" s="33">
        <v>0</v>
      </c>
      <c r="P31" s="33">
        <v>2644</v>
      </c>
      <c r="Q31" s="56">
        <v>0.76630722998055512</v>
      </c>
      <c r="R31" s="56">
        <v>0.71366688325752659</v>
      </c>
      <c r="S31" s="56" t="s">
        <v>41</v>
      </c>
      <c r="T31" s="56">
        <v>1</v>
      </c>
      <c r="U31" s="116">
        <v>1698</v>
      </c>
      <c r="V31" s="116">
        <v>0</v>
      </c>
      <c r="W31" s="116">
        <v>0</v>
      </c>
      <c r="X31" s="116">
        <v>1698</v>
      </c>
      <c r="Y31" s="116">
        <v>460</v>
      </c>
      <c r="Z31" s="116">
        <v>2158</v>
      </c>
      <c r="AA31" s="116">
        <v>847</v>
      </c>
      <c r="AB31" s="116">
        <v>328</v>
      </c>
      <c r="AC31" s="10" t="s">
        <v>810</v>
      </c>
    </row>
    <row r="32" spans="2:29" x14ac:dyDescent="0.15">
      <c r="B32" s="105" t="s">
        <v>373</v>
      </c>
      <c r="C32" s="105" t="s">
        <v>874</v>
      </c>
      <c r="D32" s="32" t="s">
        <v>715</v>
      </c>
      <c r="E32" s="33">
        <v>6636</v>
      </c>
      <c r="F32" s="33">
        <v>0</v>
      </c>
      <c r="G32" s="33">
        <v>1297</v>
      </c>
      <c r="H32" s="33">
        <v>7933</v>
      </c>
      <c r="I32" s="33">
        <v>3844</v>
      </c>
      <c r="J32" s="33">
        <v>0</v>
      </c>
      <c r="K32" s="33">
        <v>1297</v>
      </c>
      <c r="L32" s="33">
        <v>5141</v>
      </c>
      <c r="M32" s="33">
        <v>2792</v>
      </c>
      <c r="N32" s="33">
        <v>0</v>
      </c>
      <c r="O32" s="33">
        <v>0</v>
      </c>
      <c r="P32" s="33">
        <v>2792</v>
      </c>
      <c r="Q32" s="56">
        <v>0.64805243917811672</v>
      </c>
      <c r="R32" s="56">
        <v>0.57926461723930078</v>
      </c>
      <c r="S32" s="56" t="s">
        <v>41</v>
      </c>
      <c r="T32" s="56">
        <v>1</v>
      </c>
      <c r="U32" s="116">
        <v>1753</v>
      </c>
      <c r="V32" s="116">
        <v>0</v>
      </c>
      <c r="W32" s="116">
        <v>0</v>
      </c>
      <c r="X32" s="116">
        <v>1753</v>
      </c>
      <c r="Y32" s="116">
        <v>393</v>
      </c>
      <c r="Z32" s="116">
        <v>2146</v>
      </c>
      <c r="AA32" s="116">
        <v>942</v>
      </c>
      <c r="AB32" s="116">
        <v>154</v>
      </c>
      <c r="AC32" s="10" t="s">
        <v>812</v>
      </c>
    </row>
    <row r="33" spans="2:29" x14ac:dyDescent="0.15">
      <c r="B33" s="105" t="s">
        <v>326</v>
      </c>
      <c r="C33" s="105" t="s">
        <v>874</v>
      </c>
      <c r="D33" s="32" t="s">
        <v>327</v>
      </c>
      <c r="E33" s="33">
        <v>8453</v>
      </c>
      <c r="F33" s="33">
        <v>0</v>
      </c>
      <c r="G33" s="33">
        <v>9276</v>
      </c>
      <c r="H33" s="33">
        <v>17729</v>
      </c>
      <c r="I33" s="33">
        <v>6176</v>
      </c>
      <c r="J33" s="33">
        <v>0</v>
      </c>
      <c r="K33" s="33">
        <v>9222</v>
      </c>
      <c r="L33" s="33">
        <v>15398</v>
      </c>
      <c r="M33" s="33">
        <v>2277</v>
      </c>
      <c r="N33" s="33">
        <v>0</v>
      </c>
      <c r="O33" s="33">
        <v>54</v>
      </c>
      <c r="P33" s="33">
        <v>2331</v>
      </c>
      <c r="Q33" s="56">
        <v>0.86852050313046425</v>
      </c>
      <c r="R33" s="56">
        <v>0.73062817934461133</v>
      </c>
      <c r="S33" s="56" t="s">
        <v>41</v>
      </c>
      <c r="T33" s="56">
        <v>0.99417852522639072</v>
      </c>
      <c r="U33" s="116">
        <v>5325</v>
      </c>
      <c r="V33" s="116">
        <v>0</v>
      </c>
      <c r="W33" s="116">
        <v>0</v>
      </c>
      <c r="X33" s="116">
        <v>5325</v>
      </c>
      <c r="Y33" s="116">
        <v>524</v>
      </c>
      <c r="Z33" s="116">
        <v>5849</v>
      </c>
      <c r="AA33" s="116">
        <v>753</v>
      </c>
      <c r="AB33" s="116">
        <v>15</v>
      </c>
      <c r="AC33" s="10" t="s">
        <v>809</v>
      </c>
    </row>
    <row r="34" spans="2:29" x14ac:dyDescent="0.15">
      <c r="B34" s="105" t="s">
        <v>402</v>
      </c>
      <c r="C34" s="105" t="s">
        <v>874</v>
      </c>
      <c r="D34" s="32" t="s">
        <v>403</v>
      </c>
      <c r="E34" s="33">
        <v>8264</v>
      </c>
      <c r="F34" s="33">
        <v>0</v>
      </c>
      <c r="G34" s="33">
        <v>940</v>
      </c>
      <c r="H34" s="33">
        <v>9204</v>
      </c>
      <c r="I34" s="33">
        <v>6573</v>
      </c>
      <c r="J34" s="33">
        <v>0</v>
      </c>
      <c r="K34" s="33">
        <v>940</v>
      </c>
      <c r="L34" s="33">
        <v>7513</v>
      </c>
      <c r="M34" s="33">
        <v>1691</v>
      </c>
      <c r="N34" s="33">
        <v>0</v>
      </c>
      <c r="O34" s="33">
        <v>0</v>
      </c>
      <c r="P34" s="33">
        <v>1691</v>
      </c>
      <c r="Q34" s="56">
        <v>0.81627553237722728</v>
      </c>
      <c r="R34" s="56">
        <v>0.79537754114230397</v>
      </c>
      <c r="S34" s="56" t="s">
        <v>41</v>
      </c>
      <c r="T34" s="56">
        <v>1</v>
      </c>
      <c r="U34" s="116">
        <v>1940</v>
      </c>
      <c r="V34" s="116">
        <v>0</v>
      </c>
      <c r="W34" s="116">
        <v>0</v>
      </c>
      <c r="X34" s="116">
        <v>1940</v>
      </c>
      <c r="Y34" s="116">
        <v>278</v>
      </c>
      <c r="Z34" s="116">
        <v>2218</v>
      </c>
      <c r="AA34" s="116">
        <v>486</v>
      </c>
      <c r="AB34" s="116">
        <v>149</v>
      </c>
      <c r="AC34" s="10" t="s">
        <v>812</v>
      </c>
    </row>
    <row r="35" spans="2:29" x14ac:dyDescent="0.15">
      <c r="B35" s="105" t="s">
        <v>162</v>
      </c>
      <c r="C35" s="105" t="s">
        <v>760</v>
      </c>
      <c r="D35" s="32" t="s">
        <v>855</v>
      </c>
      <c r="E35" s="33">
        <v>0</v>
      </c>
      <c r="F35" s="33">
        <v>0</v>
      </c>
      <c r="G35" s="33">
        <v>2883</v>
      </c>
      <c r="H35" s="33">
        <v>2883</v>
      </c>
      <c r="I35" s="33">
        <v>0</v>
      </c>
      <c r="J35" s="33">
        <v>0</v>
      </c>
      <c r="K35" s="33">
        <v>2851</v>
      </c>
      <c r="L35" s="33">
        <v>2851</v>
      </c>
      <c r="M35" s="33">
        <v>0</v>
      </c>
      <c r="N35" s="33">
        <v>0</v>
      </c>
      <c r="O35" s="33">
        <v>32</v>
      </c>
      <c r="P35" s="33">
        <v>32</v>
      </c>
      <c r="Q35" s="56">
        <v>0.98890045091918144</v>
      </c>
      <c r="R35" s="56" t="s">
        <v>41</v>
      </c>
      <c r="S35" s="56" t="s">
        <v>41</v>
      </c>
      <c r="T35" s="56">
        <v>0.98890045091918144</v>
      </c>
      <c r="U35" s="116">
        <v>0</v>
      </c>
      <c r="V35" s="116">
        <v>0</v>
      </c>
      <c r="W35" s="116">
        <v>0</v>
      </c>
      <c r="X35" s="116">
        <v>0</v>
      </c>
      <c r="Y35" s="116">
        <v>0</v>
      </c>
      <c r="Z35" s="116">
        <v>0</v>
      </c>
      <c r="AA35" s="116">
        <v>0</v>
      </c>
      <c r="AB35" s="116">
        <v>0</v>
      </c>
      <c r="AC35" s="10" t="s">
        <v>67</v>
      </c>
    </row>
    <row r="36" spans="2:29" x14ac:dyDescent="0.15">
      <c r="B36" s="105" t="s">
        <v>130</v>
      </c>
      <c r="C36" s="105" t="s">
        <v>760</v>
      </c>
      <c r="D36" s="32" t="s">
        <v>716</v>
      </c>
      <c r="E36" s="33">
        <v>14321</v>
      </c>
      <c r="F36" s="33">
        <v>2471</v>
      </c>
      <c r="G36" s="33">
        <v>16018</v>
      </c>
      <c r="H36" s="33">
        <v>32810</v>
      </c>
      <c r="I36" s="33">
        <v>9013</v>
      </c>
      <c r="J36" s="33">
        <v>2212</v>
      </c>
      <c r="K36" s="33">
        <v>15578</v>
      </c>
      <c r="L36" s="33">
        <v>26803</v>
      </c>
      <c r="M36" s="33">
        <v>5308</v>
      </c>
      <c r="N36" s="33">
        <v>259</v>
      </c>
      <c r="O36" s="33">
        <v>440</v>
      </c>
      <c r="P36" s="33">
        <v>6007</v>
      </c>
      <c r="Q36" s="56">
        <v>0.81691557451996344</v>
      </c>
      <c r="R36" s="56">
        <v>0.6293554919349208</v>
      </c>
      <c r="S36" s="56">
        <v>0.89518413597733715</v>
      </c>
      <c r="T36" s="56">
        <v>0.97253090273442377</v>
      </c>
      <c r="U36" s="116">
        <v>3593</v>
      </c>
      <c r="V36" s="116">
        <v>0</v>
      </c>
      <c r="W36" s="116">
        <v>0</v>
      </c>
      <c r="X36" s="116">
        <v>3593</v>
      </c>
      <c r="Y36" s="116">
        <v>2526</v>
      </c>
      <c r="Z36" s="116">
        <v>6119</v>
      </c>
      <c r="AA36" s="116">
        <v>1064</v>
      </c>
      <c r="AB36" s="116">
        <v>568</v>
      </c>
      <c r="AC36" s="10" t="s">
        <v>67</v>
      </c>
    </row>
    <row r="37" spans="2:29" x14ac:dyDescent="0.15">
      <c r="B37" s="105" t="s">
        <v>134</v>
      </c>
      <c r="C37" s="105" t="s">
        <v>760</v>
      </c>
      <c r="D37" s="117" t="s">
        <v>135</v>
      </c>
      <c r="E37" s="33">
        <v>27253</v>
      </c>
      <c r="F37" s="33">
        <v>895</v>
      </c>
      <c r="G37" s="33">
        <v>18702</v>
      </c>
      <c r="H37" s="33">
        <v>46850</v>
      </c>
      <c r="I37" s="33">
        <v>16611</v>
      </c>
      <c r="J37" s="33">
        <v>894</v>
      </c>
      <c r="K37" s="33">
        <v>17167</v>
      </c>
      <c r="L37" s="33">
        <v>34672</v>
      </c>
      <c r="M37" s="33">
        <v>10642</v>
      </c>
      <c r="N37" s="33">
        <v>1</v>
      </c>
      <c r="O37" s="33">
        <v>1535</v>
      </c>
      <c r="P37" s="33">
        <v>12178</v>
      </c>
      <c r="Q37" s="56">
        <v>0.74006403415154753</v>
      </c>
      <c r="R37" s="56">
        <v>0.60951087953619787</v>
      </c>
      <c r="S37" s="56">
        <v>0.99888268156424576</v>
      </c>
      <c r="T37" s="56">
        <v>0.91792321676826005</v>
      </c>
      <c r="U37" s="116">
        <v>3992</v>
      </c>
      <c r="V37" s="116">
        <v>0</v>
      </c>
      <c r="W37" s="116">
        <v>24</v>
      </c>
      <c r="X37" s="116">
        <v>4016</v>
      </c>
      <c r="Y37" s="116">
        <v>1207</v>
      </c>
      <c r="Z37" s="116">
        <v>5223</v>
      </c>
      <c r="AA37" s="116">
        <v>2141</v>
      </c>
      <c r="AB37" s="116">
        <v>1208</v>
      </c>
      <c r="AC37" s="10" t="s">
        <v>67</v>
      </c>
    </row>
    <row r="38" spans="2:29" x14ac:dyDescent="0.15">
      <c r="B38" s="105" t="s">
        <v>230</v>
      </c>
      <c r="C38" s="105" t="s">
        <v>760</v>
      </c>
      <c r="D38" s="32" t="s">
        <v>762</v>
      </c>
      <c r="E38" s="33">
        <v>0</v>
      </c>
      <c r="F38" s="33">
        <v>0</v>
      </c>
      <c r="G38" s="33">
        <v>3523</v>
      </c>
      <c r="H38" s="33">
        <v>3523</v>
      </c>
      <c r="I38" s="33">
        <v>0</v>
      </c>
      <c r="J38" s="33">
        <v>0</v>
      </c>
      <c r="K38" s="33">
        <v>3509</v>
      </c>
      <c r="L38" s="33">
        <v>3509</v>
      </c>
      <c r="M38" s="33">
        <v>0</v>
      </c>
      <c r="N38" s="33">
        <v>0</v>
      </c>
      <c r="O38" s="33">
        <v>14</v>
      </c>
      <c r="P38" s="33">
        <v>14</v>
      </c>
      <c r="Q38" s="56">
        <v>0.99602611410729491</v>
      </c>
      <c r="R38" s="56" t="s">
        <v>41</v>
      </c>
      <c r="S38" s="56" t="s">
        <v>41</v>
      </c>
      <c r="T38" s="56">
        <v>0.99602611410729491</v>
      </c>
      <c r="U38" s="116">
        <v>0</v>
      </c>
      <c r="V38" s="116">
        <v>0</v>
      </c>
      <c r="W38" s="116">
        <v>0</v>
      </c>
      <c r="X38" s="116">
        <v>0</v>
      </c>
      <c r="Y38" s="116">
        <v>0</v>
      </c>
      <c r="Z38" s="116">
        <v>0</v>
      </c>
      <c r="AA38" s="116">
        <v>0</v>
      </c>
      <c r="AB38" s="116">
        <v>0</v>
      </c>
      <c r="AC38" s="10" t="s">
        <v>105</v>
      </c>
    </row>
    <row r="39" spans="2:29" x14ac:dyDescent="0.15">
      <c r="B39" s="105" t="s">
        <v>203</v>
      </c>
      <c r="C39" s="105" t="s">
        <v>760</v>
      </c>
      <c r="D39" s="32" t="s">
        <v>204</v>
      </c>
      <c r="E39" s="33">
        <v>0</v>
      </c>
      <c r="F39" s="33">
        <v>0</v>
      </c>
      <c r="G39" s="33">
        <v>13541</v>
      </c>
      <c r="H39" s="33">
        <v>13541</v>
      </c>
      <c r="I39" s="33">
        <v>0</v>
      </c>
      <c r="J39" s="33">
        <v>0</v>
      </c>
      <c r="K39" s="33">
        <v>13174</v>
      </c>
      <c r="L39" s="33">
        <v>13174</v>
      </c>
      <c r="M39" s="33">
        <v>0</v>
      </c>
      <c r="N39" s="33">
        <v>0</v>
      </c>
      <c r="O39" s="33">
        <v>367</v>
      </c>
      <c r="P39" s="33">
        <v>367</v>
      </c>
      <c r="Q39" s="56">
        <v>0.97289712724318733</v>
      </c>
      <c r="R39" s="56" t="s">
        <v>41</v>
      </c>
      <c r="S39" s="56" t="s">
        <v>41</v>
      </c>
      <c r="T39" s="56">
        <v>0.97289712724318733</v>
      </c>
      <c r="U39" s="116">
        <v>0</v>
      </c>
      <c r="V39" s="116">
        <v>0</v>
      </c>
      <c r="W39" s="116">
        <v>0</v>
      </c>
      <c r="X39" s="116">
        <v>0</v>
      </c>
      <c r="Y39" s="116">
        <v>0</v>
      </c>
      <c r="Z39" s="116">
        <v>0</v>
      </c>
      <c r="AA39" s="116">
        <v>0</v>
      </c>
      <c r="AB39" s="116">
        <v>0</v>
      </c>
      <c r="AC39" s="10" t="s">
        <v>813</v>
      </c>
    </row>
    <row r="40" spans="2:29" x14ac:dyDescent="0.15">
      <c r="B40" s="105" t="s">
        <v>207</v>
      </c>
      <c r="C40" s="105" t="s">
        <v>760</v>
      </c>
      <c r="D40" s="32" t="s">
        <v>717</v>
      </c>
      <c r="E40" s="33">
        <v>21345</v>
      </c>
      <c r="F40" s="33">
        <v>0</v>
      </c>
      <c r="G40" s="33">
        <v>6840</v>
      </c>
      <c r="H40" s="33">
        <v>28185</v>
      </c>
      <c r="I40" s="33">
        <v>15326</v>
      </c>
      <c r="J40" s="33">
        <v>0</v>
      </c>
      <c r="K40" s="33">
        <v>6520</v>
      </c>
      <c r="L40" s="33">
        <v>21846</v>
      </c>
      <c r="M40" s="33">
        <v>6019</v>
      </c>
      <c r="N40" s="33">
        <v>0</v>
      </c>
      <c r="O40" s="33">
        <v>320</v>
      </c>
      <c r="P40" s="33">
        <v>6339</v>
      </c>
      <c r="Q40" s="56">
        <v>0.77509313464608831</v>
      </c>
      <c r="R40" s="56">
        <v>0.71801358631998125</v>
      </c>
      <c r="S40" s="56" t="s">
        <v>41</v>
      </c>
      <c r="T40" s="56">
        <v>0.95321637426900585</v>
      </c>
      <c r="U40" s="116">
        <v>2966</v>
      </c>
      <c r="V40" s="116">
        <v>0</v>
      </c>
      <c r="W40" s="116">
        <v>0</v>
      </c>
      <c r="X40" s="116">
        <v>2966</v>
      </c>
      <c r="Y40" s="116">
        <v>316</v>
      </c>
      <c r="Z40" s="116">
        <v>3282</v>
      </c>
      <c r="AA40" s="116">
        <v>973</v>
      </c>
      <c r="AB40" s="116">
        <v>44</v>
      </c>
      <c r="AC40" s="10" t="s">
        <v>813</v>
      </c>
    </row>
    <row r="41" spans="2:29" x14ac:dyDescent="0.15">
      <c r="B41" s="105" t="s">
        <v>250</v>
      </c>
      <c r="C41" s="105" t="s">
        <v>760</v>
      </c>
      <c r="D41" s="32" t="s">
        <v>251</v>
      </c>
      <c r="E41" s="33">
        <v>13804</v>
      </c>
      <c r="F41" s="33">
        <v>0</v>
      </c>
      <c r="G41" s="33">
        <v>4657</v>
      </c>
      <c r="H41" s="33">
        <v>18461</v>
      </c>
      <c r="I41" s="33">
        <v>8710</v>
      </c>
      <c r="J41" s="33">
        <v>0</v>
      </c>
      <c r="K41" s="33">
        <v>4657</v>
      </c>
      <c r="L41" s="33">
        <v>13367</v>
      </c>
      <c r="M41" s="33">
        <v>5094</v>
      </c>
      <c r="N41" s="33">
        <v>0</v>
      </c>
      <c r="O41" s="33">
        <v>0</v>
      </c>
      <c r="P41" s="33">
        <v>5094</v>
      </c>
      <c r="Q41" s="56">
        <v>0.72406695195276527</v>
      </c>
      <c r="R41" s="56">
        <v>0.63097652854245145</v>
      </c>
      <c r="S41" s="56" t="s">
        <v>41</v>
      </c>
      <c r="T41" s="56">
        <v>1</v>
      </c>
      <c r="U41" s="116">
        <v>1090</v>
      </c>
      <c r="V41" s="116">
        <v>0</v>
      </c>
      <c r="W41" s="116">
        <v>0</v>
      </c>
      <c r="X41" s="116">
        <v>1090</v>
      </c>
      <c r="Y41" s="116">
        <v>150</v>
      </c>
      <c r="Z41" s="116">
        <v>1240</v>
      </c>
      <c r="AA41" s="116">
        <v>927</v>
      </c>
      <c r="AB41" s="116">
        <v>626</v>
      </c>
      <c r="AC41" s="10" t="s">
        <v>111</v>
      </c>
    </row>
    <row r="42" spans="2:29" x14ac:dyDescent="0.15">
      <c r="B42" s="105" t="s">
        <v>258</v>
      </c>
      <c r="C42" s="105" t="s">
        <v>760</v>
      </c>
      <c r="D42" s="32" t="s">
        <v>718</v>
      </c>
      <c r="E42" s="33">
        <v>11635</v>
      </c>
      <c r="F42" s="33">
        <v>0</v>
      </c>
      <c r="G42" s="33">
        <v>2921</v>
      </c>
      <c r="H42" s="33">
        <v>14556</v>
      </c>
      <c r="I42" s="33">
        <v>7826</v>
      </c>
      <c r="J42" s="33">
        <v>0</v>
      </c>
      <c r="K42" s="33">
        <v>2485</v>
      </c>
      <c r="L42" s="33">
        <v>10311</v>
      </c>
      <c r="M42" s="33">
        <v>3809</v>
      </c>
      <c r="N42" s="33">
        <v>0</v>
      </c>
      <c r="O42" s="33">
        <v>436</v>
      </c>
      <c r="P42" s="33">
        <v>4245</v>
      </c>
      <c r="Q42" s="56">
        <v>0.70836768342951362</v>
      </c>
      <c r="R42" s="56">
        <v>0.6726256983240223</v>
      </c>
      <c r="S42" s="56" t="s">
        <v>41</v>
      </c>
      <c r="T42" s="56">
        <v>0.85073604929818558</v>
      </c>
      <c r="U42" s="116">
        <v>2097</v>
      </c>
      <c r="V42" s="116">
        <v>0</v>
      </c>
      <c r="W42" s="116">
        <v>0</v>
      </c>
      <c r="X42" s="116">
        <v>2097</v>
      </c>
      <c r="Y42" s="116">
        <v>163</v>
      </c>
      <c r="Z42" s="116">
        <v>2260</v>
      </c>
      <c r="AA42" s="116">
        <v>1391</v>
      </c>
      <c r="AB42" s="116">
        <v>743</v>
      </c>
      <c r="AC42" s="10" t="s">
        <v>111</v>
      </c>
    </row>
    <row r="43" spans="2:29" x14ac:dyDescent="0.15">
      <c r="B43" s="105" t="s">
        <v>233</v>
      </c>
      <c r="C43" s="105" t="s">
        <v>760</v>
      </c>
      <c r="D43" s="32" t="s">
        <v>719</v>
      </c>
      <c r="E43" s="33">
        <v>11004</v>
      </c>
      <c r="F43" s="33">
        <v>0</v>
      </c>
      <c r="G43" s="33">
        <v>7279</v>
      </c>
      <c r="H43" s="33">
        <v>18283</v>
      </c>
      <c r="I43" s="33">
        <v>6731</v>
      </c>
      <c r="J43" s="33">
        <v>0</v>
      </c>
      <c r="K43" s="33">
        <v>7062</v>
      </c>
      <c r="L43" s="33">
        <v>13793</v>
      </c>
      <c r="M43" s="33">
        <v>4273</v>
      </c>
      <c r="N43" s="33">
        <v>0</v>
      </c>
      <c r="O43" s="33">
        <v>217</v>
      </c>
      <c r="P43" s="33">
        <v>4490</v>
      </c>
      <c r="Q43" s="56">
        <v>0.75441667122463496</v>
      </c>
      <c r="R43" s="56">
        <v>0.61168665939658307</v>
      </c>
      <c r="S43" s="56" t="s">
        <v>41</v>
      </c>
      <c r="T43" s="56">
        <v>0.97018821266657507</v>
      </c>
      <c r="U43" s="116">
        <v>2076</v>
      </c>
      <c r="V43" s="116">
        <v>0</v>
      </c>
      <c r="W43" s="116">
        <v>0</v>
      </c>
      <c r="X43" s="116">
        <v>2076</v>
      </c>
      <c r="Y43" s="116">
        <v>342</v>
      </c>
      <c r="Z43" s="116">
        <v>2418</v>
      </c>
      <c r="AA43" s="116">
        <v>232</v>
      </c>
      <c r="AB43" s="116">
        <v>73</v>
      </c>
      <c r="AC43" s="10" t="s">
        <v>105</v>
      </c>
    </row>
    <row r="44" spans="2:29" x14ac:dyDescent="0.15">
      <c r="B44" s="105" t="s">
        <v>166</v>
      </c>
      <c r="C44" s="105" t="s">
        <v>760</v>
      </c>
      <c r="D44" s="32" t="s">
        <v>858</v>
      </c>
      <c r="E44" s="33">
        <v>0</v>
      </c>
      <c r="F44" s="33">
        <v>0</v>
      </c>
      <c r="G44" s="33">
        <v>2752</v>
      </c>
      <c r="H44" s="33">
        <v>2752</v>
      </c>
      <c r="I44" s="33">
        <v>0</v>
      </c>
      <c r="J44" s="33">
        <v>0</v>
      </c>
      <c r="K44" s="33">
        <v>2727</v>
      </c>
      <c r="L44" s="33">
        <v>2727</v>
      </c>
      <c r="M44" s="33">
        <v>0</v>
      </c>
      <c r="N44" s="33">
        <v>0</v>
      </c>
      <c r="O44" s="33">
        <v>25</v>
      </c>
      <c r="P44" s="33">
        <v>25</v>
      </c>
      <c r="Q44" s="56">
        <v>0.99091569767441856</v>
      </c>
      <c r="R44" s="56" t="s">
        <v>41</v>
      </c>
      <c r="S44" s="56" t="s">
        <v>41</v>
      </c>
      <c r="T44" s="56">
        <v>0.99091569767441856</v>
      </c>
      <c r="U44" s="116">
        <v>0</v>
      </c>
      <c r="V44" s="116">
        <v>0</v>
      </c>
      <c r="W44" s="116">
        <v>0</v>
      </c>
      <c r="X44" s="116">
        <v>0</v>
      </c>
      <c r="Y44" s="116">
        <v>0</v>
      </c>
      <c r="Z44" s="116">
        <v>0</v>
      </c>
      <c r="AA44" s="116">
        <v>0</v>
      </c>
      <c r="AB44" s="116">
        <v>0</v>
      </c>
      <c r="AC44" s="10" t="s">
        <v>67</v>
      </c>
    </row>
    <row r="45" spans="2:29" x14ac:dyDescent="0.15">
      <c r="B45" s="105" t="s">
        <v>142</v>
      </c>
      <c r="C45" s="105" t="s">
        <v>760</v>
      </c>
      <c r="D45" s="32" t="s">
        <v>143</v>
      </c>
      <c r="E45" s="33">
        <v>11472</v>
      </c>
      <c r="F45" s="33">
        <v>0</v>
      </c>
      <c r="G45" s="33">
        <v>0</v>
      </c>
      <c r="H45" s="33">
        <v>11472</v>
      </c>
      <c r="I45" s="33">
        <v>9004</v>
      </c>
      <c r="J45" s="33">
        <v>0</v>
      </c>
      <c r="K45" s="33">
        <v>0</v>
      </c>
      <c r="L45" s="33">
        <v>9004</v>
      </c>
      <c r="M45" s="33">
        <v>2468</v>
      </c>
      <c r="N45" s="33">
        <v>0</v>
      </c>
      <c r="O45" s="33">
        <v>0</v>
      </c>
      <c r="P45" s="33">
        <v>2468</v>
      </c>
      <c r="Q45" s="56">
        <v>0.78486750348675038</v>
      </c>
      <c r="R45" s="56">
        <v>0.78486750348675038</v>
      </c>
      <c r="S45" s="56" t="s">
        <v>41</v>
      </c>
      <c r="T45" s="56" t="s">
        <v>41</v>
      </c>
      <c r="U45" s="116">
        <v>1761</v>
      </c>
      <c r="V45" s="116">
        <v>0</v>
      </c>
      <c r="W45" s="116">
        <v>0</v>
      </c>
      <c r="X45" s="116">
        <v>1761</v>
      </c>
      <c r="Y45" s="116">
        <v>401</v>
      </c>
      <c r="Z45" s="116">
        <v>2162</v>
      </c>
      <c r="AA45" s="116">
        <v>224</v>
      </c>
      <c r="AB45" s="116">
        <v>25</v>
      </c>
      <c r="AC45" s="10" t="s">
        <v>67</v>
      </c>
    </row>
    <row r="46" spans="2:29" x14ac:dyDescent="0.15">
      <c r="B46" s="105" t="s">
        <v>210</v>
      </c>
      <c r="C46" s="105" t="s">
        <v>760</v>
      </c>
      <c r="D46" s="32" t="s">
        <v>211</v>
      </c>
      <c r="E46" s="33">
        <v>12877</v>
      </c>
      <c r="F46" s="33">
        <v>4284</v>
      </c>
      <c r="G46" s="33">
        <v>7376</v>
      </c>
      <c r="H46" s="33">
        <v>24537</v>
      </c>
      <c r="I46" s="33">
        <v>7374</v>
      </c>
      <c r="J46" s="33">
        <v>4003</v>
      </c>
      <c r="K46" s="33">
        <v>7012</v>
      </c>
      <c r="L46" s="33">
        <v>18389</v>
      </c>
      <c r="M46" s="33">
        <v>5503</v>
      </c>
      <c r="N46" s="33">
        <v>281</v>
      </c>
      <c r="O46" s="33">
        <v>364</v>
      </c>
      <c r="P46" s="33">
        <v>6148</v>
      </c>
      <c r="Q46" s="56">
        <v>0.74943962179565549</v>
      </c>
      <c r="R46" s="56">
        <v>0.5726489089073542</v>
      </c>
      <c r="S46" s="56">
        <v>0.93440709617180207</v>
      </c>
      <c r="T46" s="56">
        <v>0.95065075921908893</v>
      </c>
      <c r="U46" s="116">
        <v>3776</v>
      </c>
      <c r="V46" s="116">
        <v>0</v>
      </c>
      <c r="W46" s="116">
        <v>0</v>
      </c>
      <c r="X46" s="116">
        <v>3776</v>
      </c>
      <c r="Y46" s="116">
        <v>1001</v>
      </c>
      <c r="Z46" s="116">
        <v>4777</v>
      </c>
      <c r="AA46" s="116">
        <v>626</v>
      </c>
      <c r="AB46" s="116">
        <v>0</v>
      </c>
      <c r="AC46" s="10" t="s">
        <v>813</v>
      </c>
    </row>
    <row r="47" spans="2:29" x14ac:dyDescent="0.15">
      <c r="B47" s="105" t="s">
        <v>236</v>
      </c>
      <c r="C47" s="105" t="s">
        <v>760</v>
      </c>
      <c r="D47" s="32" t="s">
        <v>720</v>
      </c>
      <c r="E47" s="33">
        <v>16197</v>
      </c>
      <c r="F47" s="33">
        <v>0</v>
      </c>
      <c r="G47" s="33">
        <v>10698</v>
      </c>
      <c r="H47" s="33">
        <v>26895</v>
      </c>
      <c r="I47" s="33">
        <v>8381</v>
      </c>
      <c r="J47" s="33">
        <v>0</v>
      </c>
      <c r="K47" s="33">
        <v>10085</v>
      </c>
      <c r="L47" s="33">
        <v>18466</v>
      </c>
      <c r="M47" s="33">
        <v>7816</v>
      </c>
      <c r="N47" s="33">
        <v>0</v>
      </c>
      <c r="O47" s="33">
        <v>613</v>
      </c>
      <c r="P47" s="33">
        <v>8429</v>
      </c>
      <c r="Q47" s="56">
        <v>0.68659602156534671</v>
      </c>
      <c r="R47" s="56">
        <v>0.5174415015126258</v>
      </c>
      <c r="S47" s="56" t="s">
        <v>41</v>
      </c>
      <c r="T47" s="56">
        <v>0.94269957001308657</v>
      </c>
      <c r="U47" s="116">
        <v>3566</v>
      </c>
      <c r="V47" s="116">
        <v>0</v>
      </c>
      <c r="W47" s="116">
        <v>0</v>
      </c>
      <c r="X47" s="116">
        <v>3566</v>
      </c>
      <c r="Y47" s="116">
        <v>317</v>
      </c>
      <c r="Z47" s="116">
        <v>3883</v>
      </c>
      <c r="AA47" s="116">
        <v>2350</v>
      </c>
      <c r="AB47" s="116">
        <v>692</v>
      </c>
      <c r="AC47" s="10" t="s">
        <v>105</v>
      </c>
    </row>
    <row r="48" spans="2:29" x14ac:dyDescent="0.15">
      <c r="B48" s="105" t="s">
        <v>264</v>
      </c>
      <c r="C48" s="105" t="s">
        <v>760</v>
      </c>
      <c r="D48" s="32" t="s">
        <v>861</v>
      </c>
      <c r="E48" s="33">
        <v>7544</v>
      </c>
      <c r="F48" s="33">
        <v>0</v>
      </c>
      <c r="G48" s="33">
        <v>8597</v>
      </c>
      <c r="H48" s="33">
        <v>16141</v>
      </c>
      <c r="I48" s="33">
        <v>3132</v>
      </c>
      <c r="J48" s="33">
        <v>0</v>
      </c>
      <c r="K48" s="33">
        <v>8064</v>
      </c>
      <c r="L48" s="33">
        <v>11196</v>
      </c>
      <c r="M48" s="33">
        <v>4412</v>
      </c>
      <c r="N48" s="33">
        <v>0</v>
      </c>
      <c r="O48" s="33">
        <v>533</v>
      </c>
      <c r="P48" s="33">
        <v>4945</v>
      </c>
      <c r="Q48" s="56">
        <v>0.69363732110773801</v>
      </c>
      <c r="R48" s="56">
        <v>0.41516436903499471</v>
      </c>
      <c r="S48" s="56" t="s">
        <v>41</v>
      </c>
      <c r="T48" s="56">
        <v>0.93800162847504942</v>
      </c>
      <c r="U48" s="116">
        <v>2569</v>
      </c>
      <c r="V48" s="116">
        <v>0</v>
      </c>
      <c r="W48" s="116">
        <v>171</v>
      </c>
      <c r="X48" s="116">
        <v>2740</v>
      </c>
      <c r="Y48" s="116">
        <v>654</v>
      </c>
      <c r="Z48" s="116">
        <v>3394</v>
      </c>
      <c r="AA48" s="116">
        <v>742</v>
      </c>
      <c r="AB48" s="116">
        <v>516</v>
      </c>
      <c r="AC48" s="10" t="s">
        <v>111</v>
      </c>
    </row>
    <row r="49" spans="2:29" x14ac:dyDescent="0.15">
      <c r="B49" s="105" t="s">
        <v>239</v>
      </c>
      <c r="C49" s="105" t="s">
        <v>760</v>
      </c>
      <c r="D49" s="32" t="s">
        <v>721</v>
      </c>
      <c r="E49" s="33">
        <v>16492</v>
      </c>
      <c r="F49" s="33">
        <v>0</v>
      </c>
      <c r="G49" s="33">
        <v>16269</v>
      </c>
      <c r="H49" s="33">
        <v>32761</v>
      </c>
      <c r="I49" s="33">
        <v>7265</v>
      </c>
      <c r="J49" s="33">
        <v>0</v>
      </c>
      <c r="K49" s="33">
        <v>15762</v>
      </c>
      <c r="L49" s="33">
        <v>23027</v>
      </c>
      <c r="M49" s="33">
        <v>9227</v>
      </c>
      <c r="N49" s="33">
        <v>0</v>
      </c>
      <c r="O49" s="33">
        <v>507</v>
      </c>
      <c r="P49" s="33">
        <v>9734</v>
      </c>
      <c r="Q49" s="56">
        <v>0.70287842251457522</v>
      </c>
      <c r="R49" s="56">
        <v>0.44051661411593501</v>
      </c>
      <c r="S49" s="56" t="s">
        <v>41</v>
      </c>
      <c r="T49" s="56">
        <v>0.96883643739627512</v>
      </c>
      <c r="U49" s="116">
        <v>4635</v>
      </c>
      <c r="V49" s="116">
        <v>0</v>
      </c>
      <c r="W49" s="116">
        <v>0</v>
      </c>
      <c r="X49" s="116">
        <v>4635</v>
      </c>
      <c r="Y49" s="116">
        <v>584</v>
      </c>
      <c r="Z49" s="116">
        <v>5219</v>
      </c>
      <c r="AA49" s="116">
        <v>1900</v>
      </c>
      <c r="AB49" s="116">
        <v>713</v>
      </c>
      <c r="AC49" s="10" t="s">
        <v>105</v>
      </c>
    </row>
    <row r="50" spans="2:29" x14ac:dyDescent="0.15">
      <c r="B50" s="105" t="s">
        <v>214</v>
      </c>
      <c r="C50" s="105" t="s">
        <v>760</v>
      </c>
      <c r="D50" s="32" t="s">
        <v>215</v>
      </c>
      <c r="E50" s="33">
        <v>15095</v>
      </c>
      <c r="F50" s="33">
        <v>0</v>
      </c>
      <c r="G50" s="33">
        <v>16071</v>
      </c>
      <c r="H50" s="33">
        <v>31166</v>
      </c>
      <c r="I50" s="33">
        <v>7689</v>
      </c>
      <c r="J50" s="33">
        <v>0</v>
      </c>
      <c r="K50" s="33">
        <v>15816</v>
      </c>
      <c r="L50" s="33">
        <v>23505</v>
      </c>
      <c r="M50" s="33">
        <v>7406</v>
      </c>
      <c r="N50" s="33">
        <v>0</v>
      </c>
      <c r="O50" s="33">
        <v>255</v>
      </c>
      <c r="P50" s="33">
        <v>7661</v>
      </c>
      <c r="Q50" s="56">
        <v>0.75418725534236031</v>
      </c>
      <c r="R50" s="56">
        <v>0.50937396488903608</v>
      </c>
      <c r="S50" s="56" t="s">
        <v>41</v>
      </c>
      <c r="T50" s="56">
        <v>0.98413291021093896</v>
      </c>
      <c r="U50" s="116">
        <v>6118</v>
      </c>
      <c r="V50" s="116">
        <v>0</v>
      </c>
      <c r="W50" s="116">
        <v>0</v>
      </c>
      <c r="X50" s="116">
        <v>6118</v>
      </c>
      <c r="Y50" s="116">
        <v>174</v>
      </c>
      <c r="Z50" s="116">
        <v>6292</v>
      </c>
      <c r="AA50" s="116">
        <v>1304</v>
      </c>
      <c r="AB50" s="116">
        <v>657</v>
      </c>
      <c r="AC50" s="10" t="s">
        <v>813</v>
      </c>
    </row>
    <row r="51" spans="2:29" x14ac:dyDescent="0.15">
      <c r="B51" s="105" t="s">
        <v>174</v>
      </c>
      <c r="C51" s="105" t="s">
        <v>760</v>
      </c>
      <c r="D51" s="32" t="s">
        <v>175</v>
      </c>
      <c r="E51" s="33">
        <v>0</v>
      </c>
      <c r="F51" s="33">
        <v>6569</v>
      </c>
      <c r="G51" s="33">
        <v>0</v>
      </c>
      <c r="H51" s="33">
        <v>6569</v>
      </c>
      <c r="I51" s="33">
        <v>0</v>
      </c>
      <c r="J51" s="33">
        <v>6085</v>
      </c>
      <c r="K51" s="33">
        <v>0</v>
      </c>
      <c r="L51" s="33">
        <v>6085</v>
      </c>
      <c r="M51" s="33">
        <v>0</v>
      </c>
      <c r="N51" s="33">
        <v>484</v>
      </c>
      <c r="O51" s="33">
        <v>0</v>
      </c>
      <c r="P51" s="33">
        <v>484</v>
      </c>
      <c r="Q51" s="56">
        <v>0.92632059674227429</v>
      </c>
      <c r="R51" s="56" t="s">
        <v>41</v>
      </c>
      <c r="S51" s="56">
        <v>0.92632059674227429</v>
      </c>
      <c r="T51" s="56" t="s">
        <v>41</v>
      </c>
      <c r="U51" s="116">
        <v>0</v>
      </c>
      <c r="V51" s="116">
        <v>9</v>
      </c>
      <c r="W51" s="116">
        <v>0</v>
      </c>
      <c r="X51" s="116">
        <v>9</v>
      </c>
      <c r="Y51" s="116">
        <v>230</v>
      </c>
      <c r="Z51" s="116">
        <v>239</v>
      </c>
      <c r="AA51" s="116">
        <v>0</v>
      </c>
      <c r="AB51" s="116">
        <v>0</v>
      </c>
      <c r="AC51" s="10" t="s">
        <v>813</v>
      </c>
    </row>
    <row r="52" spans="2:29" x14ac:dyDescent="0.15">
      <c r="B52" s="105" t="s">
        <v>146</v>
      </c>
      <c r="C52" s="105" t="s">
        <v>760</v>
      </c>
      <c r="D52" s="32" t="s">
        <v>147</v>
      </c>
      <c r="E52" s="33">
        <v>0</v>
      </c>
      <c r="F52" s="33">
        <v>0</v>
      </c>
      <c r="G52" s="33">
        <v>1626</v>
      </c>
      <c r="H52" s="33">
        <v>1626</v>
      </c>
      <c r="I52" s="33">
        <v>0</v>
      </c>
      <c r="J52" s="33">
        <v>0</v>
      </c>
      <c r="K52" s="33">
        <v>1598</v>
      </c>
      <c r="L52" s="33">
        <v>1598</v>
      </c>
      <c r="M52" s="33">
        <v>0</v>
      </c>
      <c r="N52" s="33">
        <v>0</v>
      </c>
      <c r="O52" s="33">
        <v>28</v>
      </c>
      <c r="P52" s="33">
        <v>28</v>
      </c>
      <c r="Q52" s="56">
        <v>0.98277982779827799</v>
      </c>
      <c r="R52" s="56" t="s">
        <v>41</v>
      </c>
      <c r="S52" s="56" t="s">
        <v>41</v>
      </c>
      <c r="T52" s="56">
        <v>0.98277982779827799</v>
      </c>
      <c r="U52" s="116">
        <v>0</v>
      </c>
      <c r="V52" s="116">
        <v>0</v>
      </c>
      <c r="W52" s="116">
        <v>0</v>
      </c>
      <c r="X52" s="116">
        <v>0</v>
      </c>
      <c r="Y52" s="116">
        <v>0</v>
      </c>
      <c r="Z52" s="116">
        <v>0</v>
      </c>
      <c r="AA52" s="116">
        <v>0</v>
      </c>
      <c r="AB52" s="116">
        <v>0</v>
      </c>
      <c r="AC52" s="10" t="s">
        <v>67</v>
      </c>
    </row>
    <row r="53" spans="2:29" x14ac:dyDescent="0.15">
      <c r="B53" s="105" t="s">
        <v>178</v>
      </c>
      <c r="C53" s="105" t="s">
        <v>760</v>
      </c>
      <c r="D53" s="32" t="s">
        <v>179</v>
      </c>
      <c r="E53" s="33">
        <v>27458</v>
      </c>
      <c r="F53" s="33">
        <v>621</v>
      </c>
      <c r="G53" s="33">
        <v>16625</v>
      </c>
      <c r="H53" s="33">
        <v>44704</v>
      </c>
      <c r="I53" s="33">
        <v>19274</v>
      </c>
      <c r="J53" s="33">
        <v>620</v>
      </c>
      <c r="K53" s="33">
        <v>15883</v>
      </c>
      <c r="L53" s="33">
        <v>35777</v>
      </c>
      <c r="M53" s="33">
        <v>8184</v>
      </c>
      <c r="N53" s="33">
        <v>1</v>
      </c>
      <c r="O53" s="33">
        <v>742</v>
      </c>
      <c r="P53" s="33">
        <v>8927</v>
      </c>
      <c r="Q53" s="56">
        <v>0.80030869720830355</v>
      </c>
      <c r="R53" s="56">
        <v>0.70194478840410812</v>
      </c>
      <c r="S53" s="56">
        <v>0.99838969404186795</v>
      </c>
      <c r="T53" s="56">
        <v>0.95536842105263153</v>
      </c>
      <c r="U53" s="116">
        <v>6577</v>
      </c>
      <c r="V53" s="116">
        <v>2</v>
      </c>
      <c r="W53" s="116">
        <v>131</v>
      </c>
      <c r="X53" s="116">
        <v>6710</v>
      </c>
      <c r="Y53" s="116">
        <v>769</v>
      </c>
      <c r="Z53" s="116">
        <v>7479</v>
      </c>
      <c r="AA53" s="116">
        <v>2899</v>
      </c>
      <c r="AB53" s="116">
        <v>2031</v>
      </c>
      <c r="AC53" s="10" t="s">
        <v>813</v>
      </c>
    </row>
    <row r="54" spans="2:29" x14ac:dyDescent="0.15">
      <c r="B54" s="105" t="s">
        <v>181</v>
      </c>
      <c r="C54" s="105" t="s">
        <v>760</v>
      </c>
      <c r="D54" s="32" t="s">
        <v>182</v>
      </c>
      <c r="E54" s="33">
        <v>0</v>
      </c>
      <c r="F54" s="33">
        <v>0</v>
      </c>
      <c r="G54" s="33">
        <v>0</v>
      </c>
      <c r="H54" s="33">
        <v>0</v>
      </c>
      <c r="I54" s="33">
        <v>0</v>
      </c>
      <c r="J54" s="33">
        <v>0</v>
      </c>
      <c r="K54" s="33">
        <v>0</v>
      </c>
      <c r="L54" s="33">
        <v>0</v>
      </c>
      <c r="M54" s="33">
        <v>0</v>
      </c>
      <c r="N54" s="33">
        <v>0</v>
      </c>
      <c r="O54" s="33">
        <v>0</v>
      </c>
      <c r="P54" s="33">
        <v>0</v>
      </c>
      <c r="Q54" s="56" t="s">
        <v>41</v>
      </c>
      <c r="R54" s="56" t="s">
        <v>41</v>
      </c>
      <c r="S54" s="56" t="s">
        <v>41</v>
      </c>
      <c r="T54" s="56" t="s">
        <v>41</v>
      </c>
      <c r="U54" s="116">
        <v>0</v>
      </c>
      <c r="V54" s="116">
        <v>0</v>
      </c>
      <c r="W54" s="116">
        <v>0</v>
      </c>
      <c r="X54" s="116">
        <v>0</v>
      </c>
      <c r="Y54" s="116">
        <v>28</v>
      </c>
      <c r="Z54" s="116">
        <v>28</v>
      </c>
      <c r="AA54" s="116">
        <v>0</v>
      </c>
      <c r="AB54" s="116">
        <v>0</v>
      </c>
      <c r="AC54" s="10" t="s">
        <v>813</v>
      </c>
    </row>
    <row r="55" spans="2:29" x14ac:dyDescent="0.15">
      <c r="B55" s="105" t="s">
        <v>276</v>
      </c>
      <c r="C55" s="105" t="s">
        <v>760</v>
      </c>
      <c r="D55" s="32" t="s">
        <v>722</v>
      </c>
      <c r="E55" s="33">
        <v>9553</v>
      </c>
      <c r="F55" s="33">
        <v>0</v>
      </c>
      <c r="G55" s="33">
        <v>4101</v>
      </c>
      <c r="H55" s="33">
        <v>13654</v>
      </c>
      <c r="I55" s="33">
        <v>6756</v>
      </c>
      <c r="J55" s="33">
        <v>0</v>
      </c>
      <c r="K55" s="33">
        <v>3907</v>
      </c>
      <c r="L55" s="33">
        <v>10663</v>
      </c>
      <c r="M55" s="33">
        <v>2797</v>
      </c>
      <c r="N55" s="33">
        <v>0</v>
      </c>
      <c r="O55" s="33">
        <v>194</v>
      </c>
      <c r="P55" s="33">
        <v>2991</v>
      </c>
      <c r="Q55" s="56">
        <v>0.78094331331477951</v>
      </c>
      <c r="R55" s="56">
        <v>0.70721239401235214</v>
      </c>
      <c r="S55" s="56" t="s">
        <v>41</v>
      </c>
      <c r="T55" s="56">
        <v>0.95269446476469155</v>
      </c>
      <c r="U55" s="116">
        <v>1925</v>
      </c>
      <c r="V55" s="116">
        <v>0</v>
      </c>
      <c r="W55" s="116">
        <v>0</v>
      </c>
      <c r="X55" s="116">
        <v>1925</v>
      </c>
      <c r="Y55" s="116">
        <v>458</v>
      </c>
      <c r="Z55" s="116">
        <v>2383</v>
      </c>
      <c r="AA55" s="116">
        <v>645</v>
      </c>
      <c r="AB55" s="116">
        <v>287</v>
      </c>
      <c r="AC55" s="10" t="s">
        <v>111</v>
      </c>
    </row>
    <row r="56" spans="2:29" x14ac:dyDescent="0.15">
      <c r="B56" s="105" t="s">
        <v>222</v>
      </c>
      <c r="C56" s="105" t="s">
        <v>760</v>
      </c>
      <c r="D56" s="32" t="s">
        <v>223</v>
      </c>
      <c r="E56" s="33">
        <v>5219</v>
      </c>
      <c r="F56" s="33">
        <v>0</v>
      </c>
      <c r="G56" s="33">
        <v>7405</v>
      </c>
      <c r="H56" s="33">
        <v>12624</v>
      </c>
      <c r="I56" s="33">
        <v>3001</v>
      </c>
      <c r="J56" s="33">
        <v>0</v>
      </c>
      <c r="K56" s="33">
        <v>7332</v>
      </c>
      <c r="L56" s="33">
        <v>10333</v>
      </c>
      <c r="M56" s="33">
        <v>2218</v>
      </c>
      <c r="N56" s="33">
        <v>0</v>
      </c>
      <c r="O56" s="33">
        <v>73</v>
      </c>
      <c r="P56" s="33">
        <v>2291</v>
      </c>
      <c r="Q56" s="56">
        <v>0.81852027883396705</v>
      </c>
      <c r="R56" s="56">
        <v>0.57501437056907456</v>
      </c>
      <c r="S56" s="56" t="s">
        <v>41</v>
      </c>
      <c r="T56" s="56">
        <v>0.99014179608372721</v>
      </c>
      <c r="U56" s="116">
        <v>1828</v>
      </c>
      <c r="V56" s="116">
        <v>0</v>
      </c>
      <c r="W56" s="116">
        <v>0</v>
      </c>
      <c r="X56" s="116">
        <v>1828</v>
      </c>
      <c r="Y56" s="116">
        <v>86</v>
      </c>
      <c r="Z56" s="116">
        <v>1914</v>
      </c>
      <c r="AA56" s="116">
        <v>462</v>
      </c>
      <c r="AB56" s="116">
        <v>6</v>
      </c>
      <c r="AC56" s="10" t="s">
        <v>813</v>
      </c>
    </row>
    <row r="57" spans="2:29" x14ac:dyDescent="0.15">
      <c r="B57" s="105" t="s">
        <v>188</v>
      </c>
      <c r="C57" s="105" t="s">
        <v>760</v>
      </c>
      <c r="D57" s="32" t="s">
        <v>189</v>
      </c>
      <c r="E57" s="33">
        <v>14122</v>
      </c>
      <c r="F57" s="33">
        <v>0</v>
      </c>
      <c r="G57" s="33">
        <v>0</v>
      </c>
      <c r="H57" s="33">
        <v>14122</v>
      </c>
      <c r="I57" s="33">
        <v>10422</v>
      </c>
      <c r="J57" s="33">
        <v>0</v>
      </c>
      <c r="K57" s="33">
        <v>0</v>
      </c>
      <c r="L57" s="33">
        <v>10422</v>
      </c>
      <c r="M57" s="33">
        <v>3700</v>
      </c>
      <c r="N57" s="33">
        <v>0</v>
      </c>
      <c r="O57" s="33">
        <v>0</v>
      </c>
      <c r="P57" s="33">
        <v>3700</v>
      </c>
      <c r="Q57" s="56">
        <v>0.73799745078600765</v>
      </c>
      <c r="R57" s="56">
        <v>0.73799745078600765</v>
      </c>
      <c r="S57" s="56" t="s">
        <v>41</v>
      </c>
      <c r="T57" s="56" t="s">
        <v>41</v>
      </c>
      <c r="U57" s="116">
        <v>1418</v>
      </c>
      <c r="V57" s="116">
        <v>0</v>
      </c>
      <c r="W57" s="116">
        <v>0</v>
      </c>
      <c r="X57" s="116">
        <v>1418</v>
      </c>
      <c r="Y57" s="116">
        <v>328</v>
      </c>
      <c r="Z57" s="116">
        <v>1746</v>
      </c>
      <c r="AA57" s="116">
        <v>642</v>
      </c>
      <c r="AB57" s="116">
        <v>246</v>
      </c>
      <c r="AC57" s="10" t="s">
        <v>813</v>
      </c>
    </row>
    <row r="58" spans="2:29" x14ac:dyDescent="0.15">
      <c r="B58" s="105" t="s">
        <v>185</v>
      </c>
      <c r="C58" s="105" t="s">
        <v>760</v>
      </c>
      <c r="D58" s="32" t="s">
        <v>723</v>
      </c>
      <c r="E58" s="33">
        <v>9715</v>
      </c>
      <c r="F58" s="33">
        <v>0</v>
      </c>
      <c r="G58" s="33">
        <v>0</v>
      </c>
      <c r="H58" s="33">
        <v>9715</v>
      </c>
      <c r="I58" s="33">
        <v>7009</v>
      </c>
      <c r="J58" s="33">
        <v>0</v>
      </c>
      <c r="K58" s="33">
        <v>0</v>
      </c>
      <c r="L58" s="33">
        <v>7009</v>
      </c>
      <c r="M58" s="33">
        <v>2706</v>
      </c>
      <c r="N58" s="33">
        <v>0</v>
      </c>
      <c r="O58" s="33">
        <v>0</v>
      </c>
      <c r="P58" s="33">
        <v>2706</v>
      </c>
      <c r="Q58" s="56">
        <v>0.72146165723108591</v>
      </c>
      <c r="R58" s="56">
        <v>0.72146165723108591</v>
      </c>
      <c r="S58" s="56" t="s">
        <v>41</v>
      </c>
      <c r="T58" s="56" t="s">
        <v>41</v>
      </c>
      <c r="U58" s="116">
        <v>1321</v>
      </c>
      <c r="V58" s="116">
        <v>0</v>
      </c>
      <c r="W58" s="116">
        <v>0</v>
      </c>
      <c r="X58" s="116">
        <v>1321</v>
      </c>
      <c r="Y58" s="116">
        <v>41</v>
      </c>
      <c r="Z58" s="116">
        <v>1362</v>
      </c>
      <c r="AA58" s="116">
        <v>506</v>
      </c>
      <c r="AB58" s="116">
        <v>278</v>
      </c>
      <c r="AC58" s="10" t="s">
        <v>813</v>
      </c>
    </row>
    <row r="59" spans="2:29" x14ac:dyDescent="0.15">
      <c r="B59" s="105" t="s">
        <v>295</v>
      </c>
      <c r="C59" s="105" t="s">
        <v>872</v>
      </c>
      <c r="D59" s="32" t="s">
        <v>724</v>
      </c>
      <c r="E59" s="33">
        <v>4840</v>
      </c>
      <c r="F59" s="33">
        <v>0</v>
      </c>
      <c r="G59" s="33">
        <v>897</v>
      </c>
      <c r="H59" s="33">
        <v>5737</v>
      </c>
      <c r="I59" s="33">
        <v>3592</v>
      </c>
      <c r="J59" s="33">
        <v>0</v>
      </c>
      <c r="K59" s="33">
        <v>897</v>
      </c>
      <c r="L59" s="33">
        <v>4489</v>
      </c>
      <c r="M59" s="33">
        <v>1248</v>
      </c>
      <c r="N59" s="33">
        <v>0</v>
      </c>
      <c r="O59" s="33">
        <v>0</v>
      </c>
      <c r="P59" s="33">
        <v>1248</v>
      </c>
      <c r="Q59" s="56">
        <v>0.78246470280634473</v>
      </c>
      <c r="R59" s="56">
        <v>0.74214876033057853</v>
      </c>
      <c r="S59" s="56" t="s">
        <v>41</v>
      </c>
      <c r="T59" s="56">
        <v>1</v>
      </c>
      <c r="U59" s="116">
        <v>628</v>
      </c>
      <c r="V59" s="116">
        <v>0</v>
      </c>
      <c r="W59" s="116">
        <v>0</v>
      </c>
      <c r="X59" s="116">
        <v>628</v>
      </c>
      <c r="Y59" s="116">
        <v>244</v>
      </c>
      <c r="Z59" s="116">
        <v>872</v>
      </c>
      <c r="AA59" s="116">
        <v>24</v>
      </c>
      <c r="AB59" s="116">
        <v>3</v>
      </c>
      <c r="AC59" s="10" t="s">
        <v>47</v>
      </c>
    </row>
    <row r="60" spans="2:29" x14ac:dyDescent="0.15">
      <c r="B60" s="105" t="s">
        <v>330</v>
      </c>
      <c r="C60" s="105" t="s">
        <v>872</v>
      </c>
      <c r="D60" s="32" t="s">
        <v>331</v>
      </c>
      <c r="E60" s="33">
        <v>6890</v>
      </c>
      <c r="F60" s="33">
        <v>0</v>
      </c>
      <c r="G60" s="33">
        <v>5220</v>
      </c>
      <c r="H60" s="33">
        <v>12110</v>
      </c>
      <c r="I60" s="33">
        <v>3540</v>
      </c>
      <c r="J60" s="33">
        <v>0</v>
      </c>
      <c r="K60" s="33">
        <v>5152</v>
      </c>
      <c r="L60" s="33">
        <v>8692</v>
      </c>
      <c r="M60" s="33">
        <v>3350</v>
      </c>
      <c r="N60" s="33">
        <v>0</v>
      </c>
      <c r="O60" s="33">
        <v>68</v>
      </c>
      <c r="P60" s="33">
        <v>3418</v>
      </c>
      <c r="Q60" s="56">
        <v>0.71775392237819979</v>
      </c>
      <c r="R60" s="56">
        <v>0.51378809869375908</v>
      </c>
      <c r="S60" s="56" t="s">
        <v>41</v>
      </c>
      <c r="T60" s="56">
        <v>0.98697318007662838</v>
      </c>
      <c r="U60" s="116">
        <v>2027</v>
      </c>
      <c r="V60" s="116">
        <v>0</v>
      </c>
      <c r="W60" s="116">
        <v>22</v>
      </c>
      <c r="X60" s="116">
        <v>2049</v>
      </c>
      <c r="Y60" s="116">
        <v>129</v>
      </c>
      <c r="Z60" s="116">
        <v>2178</v>
      </c>
      <c r="AA60" s="116">
        <v>796</v>
      </c>
      <c r="AB60" s="116">
        <v>180</v>
      </c>
      <c r="AC60" s="10" t="s">
        <v>85</v>
      </c>
    </row>
    <row r="61" spans="2:29" x14ac:dyDescent="0.15">
      <c r="B61" s="105" t="s">
        <v>307</v>
      </c>
      <c r="C61" s="105" t="s">
        <v>872</v>
      </c>
      <c r="D61" s="32" t="s">
        <v>863</v>
      </c>
      <c r="E61" s="33">
        <v>0</v>
      </c>
      <c r="F61" s="33">
        <v>0</v>
      </c>
      <c r="G61" s="33">
        <v>0</v>
      </c>
      <c r="H61" s="33">
        <v>0</v>
      </c>
      <c r="I61" s="33">
        <v>0</v>
      </c>
      <c r="J61" s="33">
        <v>0</v>
      </c>
      <c r="K61" s="33">
        <v>0</v>
      </c>
      <c r="L61" s="33">
        <v>0</v>
      </c>
      <c r="M61" s="33">
        <v>0</v>
      </c>
      <c r="N61" s="33">
        <v>0</v>
      </c>
      <c r="O61" s="33">
        <v>0</v>
      </c>
      <c r="P61" s="33">
        <v>0</v>
      </c>
      <c r="Q61" s="56" t="s">
        <v>41</v>
      </c>
      <c r="R61" s="56" t="s">
        <v>41</v>
      </c>
      <c r="S61" s="56" t="s">
        <v>41</v>
      </c>
      <c r="T61" s="56" t="s">
        <v>41</v>
      </c>
      <c r="U61" s="116">
        <v>0</v>
      </c>
      <c r="V61" s="116">
        <v>0</v>
      </c>
      <c r="W61" s="116">
        <v>6</v>
      </c>
      <c r="X61" s="116">
        <v>6</v>
      </c>
      <c r="Y61" s="116">
        <v>34</v>
      </c>
      <c r="Z61" s="116">
        <v>40</v>
      </c>
      <c r="AA61" s="116">
        <v>0</v>
      </c>
      <c r="AB61" s="116">
        <v>0</v>
      </c>
      <c r="AC61" s="10" t="s">
        <v>59</v>
      </c>
    </row>
    <row r="62" spans="2:29" x14ac:dyDescent="0.15">
      <c r="B62" s="105" t="s">
        <v>334</v>
      </c>
      <c r="C62" s="105" t="s">
        <v>872</v>
      </c>
      <c r="D62" s="32" t="s">
        <v>335</v>
      </c>
      <c r="E62" s="33">
        <v>0</v>
      </c>
      <c r="F62" s="33">
        <v>0</v>
      </c>
      <c r="G62" s="33">
        <v>6726</v>
      </c>
      <c r="H62" s="33">
        <v>6726</v>
      </c>
      <c r="I62" s="33">
        <v>0</v>
      </c>
      <c r="J62" s="33">
        <v>0</v>
      </c>
      <c r="K62" s="33">
        <v>6259</v>
      </c>
      <c r="L62" s="33">
        <v>6259</v>
      </c>
      <c r="M62" s="33">
        <v>0</v>
      </c>
      <c r="N62" s="33">
        <v>0</v>
      </c>
      <c r="O62" s="33">
        <v>467</v>
      </c>
      <c r="P62" s="33">
        <v>467</v>
      </c>
      <c r="Q62" s="56">
        <v>0.9305679452869462</v>
      </c>
      <c r="R62" s="56" t="s">
        <v>41</v>
      </c>
      <c r="S62" s="56" t="s">
        <v>41</v>
      </c>
      <c r="T62" s="56">
        <v>0.9305679452869462</v>
      </c>
      <c r="U62" s="116">
        <v>0</v>
      </c>
      <c r="V62" s="116">
        <v>0</v>
      </c>
      <c r="W62" s="116">
        <v>0</v>
      </c>
      <c r="X62" s="116">
        <v>0</v>
      </c>
      <c r="Y62" s="116">
        <v>0</v>
      </c>
      <c r="Z62" s="116">
        <v>0</v>
      </c>
      <c r="AA62" s="116">
        <v>0</v>
      </c>
      <c r="AB62" s="116">
        <v>0</v>
      </c>
      <c r="AC62" s="10" t="s">
        <v>85</v>
      </c>
    </row>
    <row r="63" spans="2:29" x14ac:dyDescent="0.15">
      <c r="B63" s="105" t="s">
        <v>337</v>
      </c>
      <c r="C63" s="105" t="s">
        <v>872</v>
      </c>
      <c r="D63" s="32" t="s">
        <v>815</v>
      </c>
      <c r="E63" s="33">
        <v>0</v>
      </c>
      <c r="F63" s="33">
        <v>0</v>
      </c>
      <c r="G63" s="33">
        <v>1908</v>
      </c>
      <c r="H63" s="33">
        <v>1908</v>
      </c>
      <c r="I63" s="33">
        <v>0</v>
      </c>
      <c r="J63" s="33">
        <v>0</v>
      </c>
      <c r="K63" s="33">
        <v>1907</v>
      </c>
      <c r="L63" s="33">
        <v>1907</v>
      </c>
      <c r="M63" s="33">
        <v>0</v>
      </c>
      <c r="N63" s="33">
        <v>0</v>
      </c>
      <c r="O63" s="33">
        <v>1</v>
      </c>
      <c r="P63" s="33">
        <v>1</v>
      </c>
      <c r="Q63" s="56">
        <v>0.99947589098532497</v>
      </c>
      <c r="R63" s="56" t="s">
        <v>41</v>
      </c>
      <c r="S63" s="56" t="s">
        <v>41</v>
      </c>
      <c r="T63" s="56">
        <v>0.99947589098532497</v>
      </c>
      <c r="U63" s="116">
        <v>0</v>
      </c>
      <c r="V63" s="116">
        <v>0</v>
      </c>
      <c r="W63" s="116">
        <v>0</v>
      </c>
      <c r="X63" s="116">
        <v>0</v>
      </c>
      <c r="Y63" s="116">
        <v>0</v>
      </c>
      <c r="Z63" s="116">
        <v>0</v>
      </c>
      <c r="AA63" s="116">
        <v>0</v>
      </c>
      <c r="AB63" s="116">
        <v>0</v>
      </c>
      <c r="AC63" s="10" t="s">
        <v>85</v>
      </c>
    </row>
    <row r="64" spans="2:29" x14ac:dyDescent="0.15">
      <c r="B64" s="105" t="s">
        <v>808</v>
      </c>
      <c r="C64" s="105" t="s">
        <v>872</v>
      </c>
      <c r="D64" s="32" t="s">
        <v>806</v>
      </c>
      <c r="E64" s="33">
        <v>0</v>
      </c>
      <c r="F64" s="33">
        <v>0</v>
      </c>
      <c r="G64" s="33">
        <v>0</v>
      </c>
      <c r="H64" s="33">
        <v>0</v>
      </c>
      <c r="I64" s="33">
        <v>0</v>
      </c>
      <c r="J64" s="33">
        <v>0</v>
      </c>
      <c r="K64" s="33">
        <v>0</v>
      </c>
      <c r="L64" s="33">
        <v>0</v>
      </c>
      <c r="M64" s="33">
        <v>0</v>
      </c>
      <c r="N64" s="33">
        <v>0</v>
      </c>
      <c r="O64" s="33">
        <v>0</v>
      </c>
      <c r="P64" s="33">
        <v>0</v>
      </c>
      <c r="Q64" s="56" t="s">
        <v>41</v>
      </c>
      <c r="R64" s="56" t="s">
        <v>41</v>
      </c>
      <c r="S64" s="56" t="s">
        <v>41</v>
      </c>
      <c r="T64" s="56" t="s">
        <v>41</v>
      </c>
      <c r="U64" s="116">
        <v>0</v>
      </c>
      <c r="V64" s="116">
        <v>0</v>
      </c>
      <c r="W64" s="116">
        <v>0</v>
      </c>
      <c r="X64" s="116">
        <v>0</v>
      </c>
      <c r="Y64" s="116">
        <v>0</v>
      </c>
      <c r="Z64" s="116">
        <v>0</v>
      </c>
      <c r="AA64" s="116">
        <v>0</v>
      </c>
      <c r="AB64" s="116">
        <v>0</v>
      </c>
      <c r="AC64" s="10" t="s">
        <v>89</v>
      </c>
    </row>
    <row r="65" spans="2:29" x14ac:dyDescent="0.15">
      <c r="B65" s="105" t="s">
        <v>309</v>
      </c>
      <c r="C65" s="105" t="s">
        <v>872</v>
      </c>
      <c r="D65" s="32" t="s">
        <v>310</v>
      </c>
      <c r="E65" s="33">
        <v>7779</v>
      </c>
      <c r="F65" s="33">
        <v>0</v>
      </c>
      <c r="G65" s="33">
        <v>1653</v>
      </c>
      <c r="H65" s="33">
        <v>9432</v>
      </c>
      <c r="I65" s="33">
        <v>6527</v>
      </c>
      <c r="J65" s="33">
        <v>0</v>
      </c>
      <c r="K65" s="33">
        <v>1653</v>
      </c>
      <c r="L65" s="33">
        <v>8180</v>
      </c>
      <c r="M65" s="33">
        <v>1252</v>
      </c>
      <c r="N65" s="33">
        <v>0</v>
      </c>
      <c r="O65" s="33">
        <v>0</v>
      </c>
      <c r="P65" s="33">
        <v>1252</v>
      </c>
      <c r="Q65" s="56">
        <v>0.86726039016115353</v>
      </c>
      <c r="R65" s="56">
        <v>0.83905386296439133</v>
      </c>
      <c r="S65" s="56" t="s">
        <v>41</v>
      </c>
      <c r="T65" s="56">
        <v>1</v>
      </c>
      <c r="U65" s="116">
        <v>1106</v>
      </c>
      <c r="V65" s="116">
        <v>0</v>
      </c>
      <c r="W65" s="116">
        <v>1</v>
      </c>
      <c r="X65" s="116">
        <v>1107</v>
      </c>
      <c r="Y65" s="116">
        <v>0</v>
      </c>
      <c r="Z65" s="116">
        <v>1107</v>
      </c>
      <c r="AA65" s="116">
        <v>707</v>
      </c>
      <c r="AB65" s="116">
        <v>354</v>
      </c>
      <c r="AC65" s="10" t="s">
        <v>59</v>
      </c>
    </row>
    <row r="66" spans="2:29" x14ac:dyDescent="0.15">
      <c r="B66" s="105" t="s">
        <v>376</v>
      </c>
      <c r="C66" s="105" t="s">
        <v>872</v>
      </c>
      <c r="D66" s="32" t="s">
        <v>377</v>
      </c>
      <c r="E66" s="33">
        <v>11028</v>
      </c>
      <c r="F66" s="33">
        <v>0</v>
      </c>
      <c r="G66" s="33">
        <v>8976</v>
      </c>
      <c r="H66" s="33">
        <v>20004</v>
      </c>
      <c r="I66" s="33">
        <v>6689</v>
      </c>
      <c r="J66" s="33">
        <v>0</v>
      </c>
      <c r="K66" s="33">
        <v>8955</v>
      </c>
      <c r="L66" s="33">
        <v>15644</v>
      </c>
      <c r="M66" s="33">
        <v>4339</v>
      </c>
      <c r="N66" s="33">
        <v>0</v>
      </c>
      <c r="O66" s="33">
        <v>21</v>
      </c>
      <c r="P66" s="33">
        <v>4360</v>
      </c>
      <c r="Q66" s="56">
        <v>0.78204359128174361</v>
      </c>
      <c r="R66" s="56">
        <v>0.6065469713456656</v>
      </c>
      <c r="S66" s="56" t="s">
        <v>41</v>
      </c>
      <c r="T66" s="56">
        <v>0.99766042780748665</v>
      </c>
      <c r="U66" s="116">
        <v>1943</v>
      </c>
      <c r="V66" s="116">
        <v>0</v>
      </c>
      <c r="W66" s="116">
        <v>0</v>
      </c>
      <c r="X66" s="116">
        <v>1943</v>
      </c>
      <c r="Y66" s="116">
        <v>248</v>
      </c>
      <c r="Z66" s="116">
        <v>2191</v>
      </c>
      <c r="AA66" s="116">
        <v>1262</v>
      </c>
      <c r="AB66" s="116">
        <v>743</v>
      </c>
      <c r="AC66" s="10" t="s">
        <v>101</v>
      </c>
    </row>
    <row r="67" spans="2:29" x14ac:dyDescent="0.15">
      <c r="B67" s="105" t="s">
        <v>339</v>
      </c>
      <c r="C67" s="105" t="s">
        <v>872</v>
      </c>
      <c r="D67" s="32" t="s">
        <v>340</v>
      </c>
      <c r="E67" s="33">
        <v>0</v>
      </c>
      <c r="F67" s="33">
        <v>0</v>
      </c>
      <c r="G67" s="33">
        <v>384</v>
      </c>
      <c r="H67" s="33">
        <v>384</v>
      </c>
      <c r="I67" s="33">
        <v>0</v>
      </c>
      <c r="J67" s="33">
        <v>0</v>
      </c>
      <c r="K67" s="33">
        <v>384</v>
      </c>
      <c r="L67" s="33">
        <v>384</v>
      </c>
      <c r="M67" s="33">
        <v>0</v>
      </c>
      <c r="N67" s="33">
        <v>0</v>
      </c>
      <c r="O67" s="33">
        <v>0</v>
      </c>
      <c r="P67" s="33">
        <v>0</v>
      </c>
      <c r="Q67" s="56">
        <v>1</v>
      </c>
      <c r="R67" s="56" t="s">
        <v>41</v>
      </c>
      <c r="S67" s="56" t="s">
        <v>41</v>
      </c>
      <c r="T67" s="56">
        <v>1</v>
      </c>
      <c r="U67" s="116">
        <v>0</v>
      </c>
      <c r="V67" s="116">
        <v>0</v>
      </c>
      <c r="W67" s="116">
        <v>0</v>
      </c>
      <c r="X67" s="116">
        <v>0</v>
      </c>
      <c r="Y67" s="116">
        <v>0</v>
      </c>
      <c r="Z67" s="116">
        <v>0</v>
      </c>
      <c r="AA67" s="116">
        <v>0</v>
      </c>
      <c r="AB67" s="116">
        <v>0</v>
      </c>
      <c r="AC67" s="10" t="s">
        <v>89</v>
      </c>
    </row>
    <row r="68" spans="2:29" x14ac:dyDescent="0.15">
      <c r="B68" s="105" t="s">
        <v>358</v>
      </c>
      <c r="C68" s="105" t="s">
        <v>872</v>
      </c>
      <c r="D68" s="32" t="s">
        <v>359</v>
      </c>
      <c r="E68" s="33">
        <v>0</v>
      </c>
      <c r="F68" s="33">
        <v>0</v>
      </c>
      <c r="G68" s="33">
        <v>9745</v>
      </c>
      <c r="H68" s="33">
        <v>9745</v>
      </c>
      <c r="I68" s="33">
        <v>0</v>
      </c>
      <c r="J68" s="33">
        <v>0</v>
      </c>
      <c r="K68" s="33">
        <v>9507</v>
      </c>
      <c r="L68" s="33">
        <v>9507</v>
      </c>
      <c r="M68" s="33">
        <v>0</v>
      </c>
      <c r="N68" s="33">
        <v>0</v>
      </c>
      <c r="O68" s="33">
        <v>238</v>
      </c>
      <c r="P68" s="33">
        <v>238</v>
      </c>
      <c r="Q68" s="56">
        <v>0.97557721908671113</v>
      </c>
      <c r="R68" s="56" t="s">
        <v>41</v>
      </c>
      <c r="S68" s="56" t="s">
        <v>41</v>
      </c>
      <c r="T68" s="56">
        <v>0.97557721908671113</v>
      </c>
      <c r="U68" s="116">
        <v>0</v>
      </c>
      <c r="V68" s="116">
        <v>0</v>
      </c>
      <c r="W68" s="116">
        <v>0</v>
      </c>
      <c r="X68" s="116">
        <v>0</v>
      </c>
      <c r="Y68" s="116">
        <v>0</v>
      </c>
      <c r="Z68" s="116">
        <v>0</v>
      </c>
      <c r="AA68" s="116">
        <v>0</v>
      </c>
      <c r="AB68" s="116">
        <v>0</v>
      </c>
      <c r="AC68" s="10" t="s">
        <v>91</v>
      </c>
    </row>
    <row r="69" spans="2:29" x14ac:dyDescent="0.15">
      <c r="B69" s="105" t="s">
        <v>336</v>
      </c>
      <c r="C69" s="105" t="s">
        <v>872</v>
      </c>
      <c r="D69" s="32" t="s">
        <v>816</v>
      </c>
      <c r="E69" s="33">
        <v>0</v>
      </c>
      <c r="F69" s="33">
        <v>0</v>
      </c>
      <c r="G69" s="33">
        <v>249</v>
      </c>
      <c r="H69" s="33">
        <v>249</v>
      </c>
      <c r="I69" s="33">
        <v>0</v>
      </c>
      <c r="J69" s="33">
        <v>0</v>
      </c>
      <c r="K69" s="33">
        <v>249</v>
      </c>
      <c r="L69" s="33">
        <v>249</v>
      </c>
      <c r="M69" s="33">
        <v>0</v>
      </c>
      <c r="N69" s="33">
        <v>0</v>
      </c>
      <c r="O69" s="33">
        <v>0</v>
      </c>
      <c r="P69" s="33">
        <v>0</v>
      </c>
      <c r="Q69" s="56">
        <v>1</v>
      </c>
      <c r="R69" s="56" t="s">
        <v>41</v>
      </c>
      <c r="S69" s="56" t="s">
        <v>41</v>
      </c>
      <c r="T69" s="56">
        <v>1</v>
      </c>
      <c r="U69" s="116">
        <v>0</v>
      </c>
      <c r="V69" s="116">
        <v>0</v>
      </c>
      <c r="W69" s="116">
        <v>0</v>
      </c>
      <c r="X69" s="116">
        <v>0</v>
      </c>
      <c r="Y69" s="116">
        <v>0</v>
      </c>
      <c r="Z69" s="116">
        <v>0</v>
      </c>
      <c r="AA69" s="116">
        <v>0</v>
      </c>
      <c r="AB69" s="116">
        <v>0</v>
      </c>
      <c r="AC69" s="10" t="s">
        <v>89</v>
      </c>
    </row>
    <row r="70" spans="2:29" x14ac:dyDescent="0.15">
      <c r="B70" s="105" t="s">
        <v>341</v>
      </c>
      <c r="C70" s="105" t="s">
        <v>872</v>
      </c>
      <c r="D70" s="32" t="s">
        <v>342</v>
      </c>
      <c r="E70" s="33">
        <v>0</v>
      </c>
      <c r="F70" s="33">
        <v>0</v>
      </c>
      <c r="G70" s="33">
        <v>5889</v>
      </c>
      <c r="H70" s="33">
        <v>5889</v>
      </c>
      <c r="I70" s="33">
        <v>0</v>
      </c>
      <c r="J70" s="33">
        <v>0</v>
      </c>
      <c r="K70" s="33">
        <v>5856</v>
      </c>
      <c r="L70" s="33">
        <v>5856</v>
      </c>
      <c r="M70" s="33">
        <v>0</v>
      </c>
      <c r="N70" s="33">
        <v>0</v>
      </c>
      <c r="O70" s="33">
        <v>33</v>
      </c>
      <c r="P70" s="33">
        <v>33</v>
      </c>
      <c r="Q70" s="56">
        <v>0.99439633214467649</v>
      </c>
      <c r="R70" s="56" t="s">
        <v>41</v>
      </c>
      <c r="S70" s="56" t="s">
        <v>41</v>
      </c>
      <c r="T70" s="56">
        <v>0.99439633214467649</v>
      </c>
      <c r="U70" s="116">
        <v>0</v>
      </c>
      <c r="V70" s="116">
        <v>0</v>
      </c>
      <c r="W70" s="116">
        <v>0</v>
      </c>
      <c r="X70" s="116">
        <v>0</v>
      </c>
      <c r="Y70" s="116">
        <v>0</v>
      </c>
      <c r="Z70" s="116">
        <v>0</v>
      </c>
      <c r="AA70" s="116">
        <v>0</v>
      </c>
      <c r="AB70" s="116">
        <v>0</v>
      </c>
      <c r="AC70" s="10" t="s">
        <v>89</v>
      </c>
    </row>
    <row r="71" spans="2:29" x14ac:dyDescent="0.15">
      <c r="B71" s="105" t="s">
        <v>805</v>
      </c>
      <c r="C71" s="105" t="s">
        <v>872</v>
      </c>
      <c r="D71" s="32" t="s">
        <v>807</v>
      </c>
      <c r="E71" s="33">
        <v>0</v>
      </c>
      <c r="F71" s="33">
        <v>0</v>
      </c>
      <c r="G71" s="33">
        <v>0</v>
      </c>
      <c r="H71" s="33">
        <v>0</v>
      </c>
      <c r="I71" s="33">
        <v>0</v>
      </c>
      <c r="J71" s="33">
        <v>0</v>
      </c>
      <c r="K71" s="33">
        <v>0</v>
      </c>
      <c r="L71" s="33">
        <v>0</v>
      </c>
      <c r="M71" s="33">
        <v>0</v>
      </c>
      <c r="N71" s="33">
        <v>0</v>
      </c>
      <c r="O71" s="33">
        <v>0</v>
      </c>
      <c r="P71" s="33">
        <v>0</v>
      </c>
      <c r="Q71" s="56" t="s">
        <v>41</v>
      </c>
      <c r="R71" s="56" t="s">
        <v>41</v>
      </c>
      <c r="S71" s="56" t="s">
        <v>41</v>
      </c>
      <c r="T71" s="56" t="s">
        <v>41</v>
      </c>
      <c r="U71" s="116">
        <v>0</v>
      </c>
      <c r="V71" s="116">
        <v>0</v>
      </c>
      <c r="W71" s="116">
        <v>0</v>
      </c>
      <c r="X71" s="116">
        <v>0</v>
      </c>
      <c r="Y71" s="116">
        <v>0</v>
      </c>
      <c r="Z71" s="116">
        <v>0</v>
      </c>
      <c r="AA71" s="116">
        <v>0</v>
      </c>
      <c r="AB71" s="116">
        <v>0</v>
      </c>
      <c r="AC71" s="10" t="s">
        <v>89</v>
      </c>
    </row>
    <row r="72" spans="2:29" x14ac:dyDescent="0.15">
      <c r="B72" s="105" t="s">
        <v>345</v>
      </c>
      <c r="C72" s="105" t="s">
        <v>872</v>
      </c>
      <c r="D72" s="32" t="s">
        <v>817</v>
      </c>
      <c r="E72" s="33">
        <v>0</v>
      </c>
      <c r="F72" s="33">
        <v>0</v>
      </c>
      <c r="G72" s="33">
        <v>0</v>
      </c>
      <c r="H72" s="33">
        <v>0</v>
      </c>
      <c r="I72" s="33">
        <v>0</v>
      </c>
      <c r="J72" s="33">
        <v>0</v>
      </c>
      <c r="K72" s="33">
        <v>0</v>
      </c>
      <c r="L72" s="33">
        <v>0</v>
      </c>
      <c r="M72" s="33">
        <v>0</v>
      </c>
      <c r="N72" s="33">
        <v>0</v>
      </c>
      <c r="O72" s="33">
        <v>0</v>
      </c>
      <c r="P72" s="33">
        <v>0</v>
      </c>
      <c r="Q72" s="56" t="s">
        <v>41</v>
      </c>
      <c r="R72" s="56" t="s">
        <v>41</v>
      </c>
      <c r="S72" s="56" t="s">
        <v>41</v>
      </c>
      <c r="T72" s="56" t="s">
        <v>41</v>
      </c>
      <c r="U72" s="116">
        <v>0</v>
      </c>
      <c r="V72" s="116">
        <v>0</v>
      </c>
      <c r="W72" s="116">
        <v>0</v>
      </c>
      <c r="X72" s="116">
        <v>0</v>
      </c>
      <c r="Y72" s="116">
        <v>0</v>
      </c>
      <c r="Z72" s="116">
        <v>0</v>
      </c>
      <c r="AA72" s="116">
        <v>0</v>
      </c>
      <c r="AB72" s="116">
        <v>0</v>
      </c>
      <c r="AC72" s="10" t="s">
        <v>89</v>
      </c>
    </row>
    <row r="73" spans="2:29" x14ac:dyDescent="0.15">
      <c r="B73" s="105" t="s">
        <v>343</v>
      </c>
      <c r="C73" s="105" t="s">
        <v>872</v>
      </c>
      <c r="D73" s="32" t="s">
        <v>344</v>
      </c>
      <c r="E73" s="33">
        <v>0</v>
      </c>
      <c r="F73" s="33">
        <v>0</v>
      </c>
      <c r="G73" s="33">
        <v>323</v>
      </c>
      <c r="H73" s="33">
        <v>323</v>
      </c>
      <c r="I73" s="33">
        <v>0</v>
      </c>
      <c r="J73" s="33">
        <v>0</v>
      </c>
      <c r="K73" s="33">
        <v>323</v>
      </c>
      <c r="L73" s="33">
        <v>323</v>
      </c>
      <c r="M73" s="33">
        <v>0</v>
      </c>
      <c r="N73" s="33">
        <v>0</v>
      </c>
      <c r="O73" s="33">
        <v>0</v>
      </c>
      <c r="P73" s="33">
        <v>0</v>
      </c>
      <c r="Q73" s="56">
        <v>1</v>
      </c>
      <c r="R73" s="56" t="s">
        <v>41</v>
      </c>
      <c r="S73" s="56" t="s">
        <v>41</v>
      </c>
      <c r="T73" s="56">
        <v>1</v>
      </c>
      <c r="U73" s="116">
        <v>0</v>
      </c>
      <c r="V73" s="116">
        <v>0</v>
      </c>
      <c r="W73" s="116">
        <v>0</v>
      </c>
      <c r="X73" s="116">
        <v>0</v>
      </c>
      <c r="Y73" s="116">
        <v>0</v>
      </c>
      <c r="Z73" s="116">
        <v>0</v>
      </c>
      <c r="AA73" s="116">
        <v>0</v>
      </c>
      <c r="AB73" s="116">
        <v>0</v>
      </c>
      <c r="AC73" s="10" t="s">
        <v>89</v>
      </c>
    </row>
    <row r="74" spans="2:29" x14ac:dyDescent="0.15">
      <c r="B74" s="105" t="s">
        <v>347</v>
      </c>
      <c r="C74" s="105" t="s">
        <v>872</v>
      </c>
      <c r="D74" s="32" t="s">
        <v>818</v>
      </c>
      <c r="E74" s="33">
        <v>0</v>
      </c>
      <c r="F74" s="33">
        <v>0</v>
      </c>
      <c r="G74" s="33">
        <v>0</v>
      </c>
      <c r="H74" s="33">
        <v>0</v>
      </c>
      <c r="I74" s="33">
        <v>0</v>
      </c>
      <c r="J74" s="33">
        <v>0</v>
      </c>
      <c r="K74" s="33">
        <v>0</v>
      </c>
      <c r="L74" s="33">
        <v>0</v>
      </c>
      <c r="M74" s="33">
        <v>0</v>
      </c>
      <c r="N74" s="33">
        <v>0</v>
      </c>
      <c r="O74" s="33">
        <v>0</v>
      </c>
      <c r="P74" s="33">
        <v>0</v>
      </c>
      <c r="Q74" s="56" t="s">
        <v>41</v>
      </c>
      <c r="R74" s="56" t="s">
        <v>41</v>
      </c>
      <c r="S74" s="56" t="s">
        <v>41</v>
      </c>
      <c r="T74" s="56" t="s">
        <v>41</v>
      </c>
      <c r="U74" s="116">
        <v>0</v>
      </c>
      <c r="V74" s="116">
        <v>0</v>
      </c>
      <c r="W74" s="116">
        <v>0</v>
      </c>
      <c r="X74" s="116">
        <v>0</v>
      </c>
      <c r="Y74" s="116">
        <v>0</v>
      </c>
      <c r="Z74" s="116">
        <v>0</v>
      </c>
      <c r="AA74" s="116">
        <v>0</v>
      </c>
      <c r="AB74" s="116">
        <v>0</v>
      </c>
      <c r="AC74" s="10" t="s">
        <v>89</v>
      </c>
    </row>
    <row r="75" spans="2:29" x14ac:dyDescent="0.15">
      <c r="B75" s="105" t="s">
        <v>378</v>
      </c>
      <c r="C75" s="105" t="s">
        <v>872</v>
      </c>
      <c r="D75" s="32" t="s">
        <v>379</v>
      </c>
      <c r="E75" s="33">
        <v>9611</v>
      </c>
      <c r="F75" s="33">
        <v>654</v>
      </c>
      <c r="G75" s="33">
        <v>3988</v>
      </c>
      <c r="H75" s="33">
        <v>14253</v>
      </c>
      <c r="I75" s="33">
        <v>5348</v>
      </c>
      <c r="J75" s="33">
        <v>629</v>
      </c>
      <c r="K75" s="33">
        <v>3908</v>
      </c>
      <c r="L75" s="33">
        <v>9885</v>
      </c>
      <c r="M75" s="33">
        <v>4263</v>
      </c>
      <c r="N75" s="33">
        <v>25</v>
      </c>
      <c r="O75" s="33">
        <v>80</v>
      </c>
      <c r="P75" s="33">
        <v>4368</v>
      </c>
      <c r="Q75" s="56">
        <v>0.69353820248368769</v>
      </c>
      <c r="R75" s="56">
        <v>0.55644573925710128</v>
      </c>
      <c r="S75" s="56">
        <v>0.96177370030581044</v>
      </c>
      <c r="T75" s="56">
        <v>0.97993981945837516</v>
      </c>
      <c r="U75" s="116">
        <v>2433</v>
      </c>
      <c r="V75" s="116">
        <v>0</v>
      </c>
      <c r="W75" s="116">
        <v>0</v>
      </c>
      <c r="X75" s="116">
        <v>2433</v>
      </c>
      <c r="Y75" s="116">
        <v>311</v>
      </c>
      <c r="Z75" s="116">
        <v>2744</v>
      </c>
      <c r="AA75" s="116">
        <v>1301</v>
      </c>
      <c r="AB75" s="116">
        <v>821</v>
      </c>
      <c r="AC75" s="10" t="s">
        <v>101</v>
      </c>
    </row>
    <row r="76" spans="2:29" x14ac:dyDescent="0.15">
      <c r="B76" s="105" t="s">
        <v>384</v>
      </c>
      <c r="C76" s="105" t="s">
        <v>872</v>
      </c>
      <c r="D76" s="32" t="s">
        <v>385</v>
      </c>
      <c r="E76" s="33">
        <v>13656</v>
      </c>
      <c r="F76" s="33">
        <v>2016</v>
      </c>
      <c r="G76" s="33">
        <v>11627</v>
      </c>
      <c r="H76" s="33">
        <v>27299</v>
      </c>
      <c r="I76" s="33">
        <v>6086</v>
      </c>
      <c r="J76" s="33">
        <v>1933</v>
      </c>
      <c r="K76" s="33">
        <v>9893</v>
      </c>
      <c r="L76" s="33">
        <v>17912</v>
      </c>
      <c r="M76" s="33">
        <v>7570</v>
      </c>
      <c r="N76" s="33">
        <v>83</v>
      </c>
      <c r="O76" s="33">
        <v>1734</v>
      </c>
      <c r="P76" s="33">
        <v>9387</v>
      </c>
      <c r="Q76" s="56">
        <v>0.65614125059525985</v>
      </c>
      <c r="R76" s="56">
        <v>0.44566490919742235</v>
      </c>
      <c r="S76" s="56">
        <v>0.95882936507936511</v>
      </c>
      <c r="T76" s="56">
        <v>0.85086436742065885</v>
      </c>
      <c r="U76" s="116">
        <v>3760</v>
      </c>
      <c r="V76" s="116">
        <v>0</v>
      </c>
      <c r="W76" s="116">
        <v>1292</v>
      </c>
      <c r="X76" s="116">
        <v>5052</v>
      </c>
      <c r="Y76" s="116">
        <v>4052</v>
      </c>
      <c r="Z76" s="116">
        <v>9104</v>
      </c>
      <c r="AA76" s="116">
        <v>1162</v>
      </c>
      <c r="AB76" s="116">
        <v>979</v>
      </c>
      <c r="AC76" s="10" t="s">
        <v>103</v>
      </c>
    </row>
    <row r="77" spans="2:29" x14ac:dyDescent="0.15">
      <c r="B77" s="105" t="s">
        <v>349</v>
      </c>
      <c r="C77" s="105" t="s">
        <v>872</v>
      </c>
      <c r="D77" s="32" t="s">
        <v>819</v>
      </c>
      <c r="E77" s="33">
        <v>0</v>
      </c>
      <c r="F77" s="33">
        <v>0</v>
      </c>
      <c r="G77" s="33">
        <v>613</v>
      </c>
      <c r="H77" s="33">
        <v>613</v>
      </c>
      <c r="I77" s="33">
        <v>0</v>
      </c>
      <c r="J77" s="33">
        <v>0</v>
      </c>
      <c r="K77" s="33">
        <v>613</v>
      </c>
      <c r="L77" s="33">
        <v>613</v>
      </c>
      <c r="M77" s="33">
        <v>0</v>
      </c>
      <c r="N77" s="33">
        <v>0</v>
      </c>
      <c r="O77" s="33">
        <v>0</v>
      </c>
      <c r="P77" s="33">
        <v>0</v>
      </c>
      <c r="Q77" s="56">
        <v>1</v>
      </c>
      <c r="R77" s="56" t="s">
        <v>41</v>
      </c>
      <c r="S77" s="56" t="s">
        <v>41</v>
      </c>
      <c r="T77" s="56">
        <v>1</v>
      </c>
      <c r="U77" s="116">
        <v>0</v>
      </c>
      <c r="V77" s="116">
        <v>0</v>
      </c>
      <c r="W77" s="116">
        <v>0</v>
      </c>
      <c r="X77" s="116">
        <v>0</v>
      </c>
      <c r="Y77" s="116">
        <v>0</v>
      </c>
      <c r="Z77" s="116">
        <v>0</v>
      </c>
      <c r="AA77" s="116">
        <v>0</v>
      </c>
      <c r="AB77" s="116">
        <v>0</v>
      </c>
      <c r="AC77" s="10" t="s">
        <v>89</v>
      </c>
    </row>
    <row r="78" spans="2:29" x14ac:dyDescent="0.15">
      <c r="B78" s="105" t="s">
        <v>353</v>
      </c>
      <c r="C78" s="105" t="s">
        <v>872</v>
      </c>
      <c r="D78" s="32" t="s">
        <v>856</v>
      </c>
      <c r="E78" s="33">
        <v>0</v>
      </c>
      <c r="F78" s="33">
        <v>0</v>
      </c>
      <c r="G78" s="33">
        <v>253</v>
      </c>
      <c r="H78" s="33">
        <v>253</v>
      </c>
      <c r="I78" s="33">
        <v>0</v>
      </c>
      <c r="J78" s="33">
        <v>0</v>
      </c>
      <c r="K78" s="33">
        <v>253</v>
      </c>
      <c r="L78" s="33">
        <v>253</v>
      </c>
      <c r="M78" s="33">
        <v>0</v>
      </c>
      <c r="N78" s="33">
        <v>0</v>
      </c>
      <c r="O78" s="33">
        <v>0</v>
      </c>
      <c r="P78" s="33">
        <v>0</v>
      </c>
      <c r="Q78" s="56">
        <v>1</v>
      </c>
      <c r="R78" s="56" t="s">
        <v>41</v>
      </c>
      <c r="S78" s="56" t="s">
        <v>41</v>
      </c>
      <c r="T78" s="56">
        <v>1</v>
      </c>
      <c r="U78" s="116">
        <v>0</v>
      </c>
      <c r="V78" s="116">
        <v>0</v>
      </c>
      <c r="W78" s="116">
        <v>0</v>
      </c>
      <c r="X78" s="116">
        <v>0</v>
      </c>
      <c r="Y78" s="116">
        <v>0</v>
      </c>
      <c r="Z78" s="116">
        <v>0</v>
      </c>
      <c r="AA78" s="116">
        <v>0</v>
      </c>
      <c r="AB78" s="116">
        <v>0</v>
      </c>
      <c r="AC78" s="10" t="s">
        <v>89</v>
      </c>
    </row>
    <row r="79" spans="2:29" x14ac:dyDescent="0.15">
      <c r="B79" s="105" t="s">
        <v>404</v>
      </c>
      <c r="C79" s="105" t="s">
        <v>872</v>
      </c>
      <c r="D79" s="32" t="s">
        <v>725</v>
      </c>
      <c r="E79" s="33">
        <v>11775</v>
      </c>
      <c r="F79" s="33">
        <v>1281</v>
      </c>
      <c r="G79" s="33">
        <v>8369</v>
      </c>
      <c r="H79" s="33">
        <v>21425</v>
      </c>
      <c r="I79" s="33">
        <v>6705</v>
      </c>
      <c r="J79" s="33">
        <v>1024</v>
      </c>
      <c r="K79" s="33">
        <v>8284</v>
      </c>
      <c r="L79" s="33">
        <v>16013</v>
      </c>
      <c r="M79" s="33">
        <v>5070</v>
      </c>
      <c r="N79" s="33">
        <v>257</v>
      </c>
      <c r="O79" s="33">
        <v>85</v>
      </c>
      <c r="P79" s="33">
        <v>5412</v>
      </c>
      <c r="Q79" s="56">
        <v>0.74739789964994163</v>
      </c>
      <c r="R79" s="56">
        <v>0.56942675159235667</v>
      </c>
      <c r="S79" s="56">
        <v>0.79937548790007806</v>
      </c>
      <c r="T79" s="56">
        <v>0.98984346994861994</v>
      </c>
      <c r="U79" s="116">
        <v>2597</v>
      </c>
      <c r="V79" s="116">
        <v>0</v>
      </c>
      <c r="W79" s="116">
        <v>12</v>
      </c>
      <c r="X79" s="116">
        <v>2609</v>
      </c>
      <c r="Y79" s="116">
        <v>67</v>
      </c>
      <c r="Z79" s="116">
        <v>2676</v>
      </c>
      <c r="AA79" s="116">
        <v>1057</v>
      </c>
      <c r="AB79" s="116">
        <v>221</v>
      </c>
      <c r="AC79" s="10" t="s">
        <v>123</v>
      </c>
    </row>
    <row r="80" spans="2:29" x14ac:dyDescent="0.15">
      <c r="B80" s="105" t="s">
        <v>386</v>
      </c>
      <c r="C80" s="105" t="s">
        <v>872</v>
      </c>
      <c r="D80" s="32" t="s">
        <v>387</v>
      </c>
      <c r="E80" s="33">
        <v>11265</v>
      </c>
      <c r="F80" s="33">
        <v>0</v>
      </c>
      <c r="G80" s="33">
        <v>5917</v>
      </c>
      <c r="H80" s="33">
        <v>17182</v>
      </c>
      <c r="I80" s="33">
        <v>7732</v>
      </c>
      <c r="J80" s="33">
        <v>0</v>
      </c>
      <c r="K80" s="33">
        <v>5047</v>
      </c>
      <c r="L80" s="33">
        <v>12779</v>
      </c>
      <c r="M80" s="33">
        <v>3533</v>
      </c>
      <c r="N80" s="33">
        <v>0</v>
      </c>
      <c r="O80" s="33">
        <v>870</v>
      </c>
      <c r="P80" s="33">
        <v>4403</v>
      </c>
      <c r="Q80" s="56">
        <v>0.74374345245023865</v>
      </c>
      <c r="R80" s="56">
        <v>0.68637372392365736</v>
      </c>
      <c r="S80" s="56" t="s">
        <v>41</v>
      </c>
      <c r="T80" s="56">
        <v>0.85296603008281224</v>
      </c>
      <c r="U80" s="116">
        <v>3859</v>
      </c>
      <c r="V80" s="116">
        <v>0</v>
      </c>
      <c r="W80" s="116">
        <v>0</v>
      </c>
      <c r="X80" s="116">
        <v>3859</v>
      </c>
      <c r="Y80" s="116">
        <v>289</v>
      </c>
      <c r="Z80" s="116">
        <v>4148</v>
      </c>
      <c r="AA80" s="116">
        <v>724</v>
      </c>
      <c r="AB80" s="116">
        <v>179</v>
      </c>
      <c r="AC80" s="10" t="s">
        <v>103</v>
      </c>
    </row>
    <row r="81" spans="2:29" x14ac:dyDescent="0.15">
      <c r="B81" s="105" t="s">
        <v>390</v>
      </c>
      <c r="C81" s="105" t="s">
        <v>872</v>
      </c>
      <c r="D81" s="32" t="s">
        <v>391</v>
      </c>
      <c r="E81" s="33">
        <v>0</v>
      </c>
      <c r="F81" s="33">
        <v>0</v>
      </c>
      <c r="G81" s="33">
        <v>3616</v>
      </c>
      <c r="H81" s="33">
        <v>3616</v>
      </c>
      <c r="I81" s="33">
        <v>0</v>
      </c>
      <c r="J81" s="33">
        <v>0</v>
      </c>
      <c r="K81" s="33">
        <v>3601</v>
      </c>
      <c r="L81" s="33">
        <v>3601</v>
      </c>
      <c r="M81" s="33">
        <v>0</v>
      </c>
      <c r="N81" s="33">
        <v>0</v>
      </c>
      <c r="O81" s="33">
        <v>15</v>
      </c>
      <c r="P81" s="33">
        <v>15</v>
      </c>
      <c r="Q81" s="56">
        <v>0.99585176991150437</v>
      </c>
      <c r="R81" s="56" t="s">
        <v>41</v>
      </c>
      <c r="S81" s="56" t="s">
        <v>41</v>
      </c>
      <c r="T81" s="56">
        <v>0.99585176991150437</v>
      </c>
      <c r="U81" s="116">
        <v>0</v>
      </c>
      <c r="V81" s="116">
        <v>0</v>
      </c>
      <c r="W81" s="116">
        <v>0</v>
      </c>
      <c r="X81" s="116">
        <v>0</v>
      </c>
      <c r="Y81" s="116">
        <v>0</v>
      </c>
      <c r="Z81" s="116">
        <v>0</v>
      </c>
      <c r="AA81" s="116">
        <v>0</v>
      </c>
      <c r="AB81" s="116">
        <v>0</v>
      </c>
      <c r="AC81" s="10" t="s">
        <v>107</v>
      </c>
    </row>
    <row r="82" spans="2:29" x14ac:dyDescent="0.15">
      <c r="B82" s="105" t="s">
        <v>360</v>
      </c>
      <c r="C82" s="105" t="s">
        <v>872</v>
      </c>
      <c r="D82" s="32" t="s">
        <v>361</v>
      </c>
      <c r="E82" s="33">
        <v>0</v>
      </c>
      <c r="F82" s="33">
        <v>0</v>
      </c>
      <c r="G82" s="33">
        <v>462</v>
      </c>
      <c r="H82" s="33">
        <v>462</v>
      </c>
      <c r="I82" s="33">
        <v>0</v>
      </c>
      <c r="J82" s="33">
        <v>0</v>
      </c>
      <c r="K82" s="33">
        <v>462</v>
      </c>
      <c r="L82" s="33">
        <v>462</v>
      </c>
      <c r="M82" s="33">
        <v>0</v>
      </c>
      <c r="N82" s="33">
        <v>0</v>
      </c>
      <c r="O82" s="33">
        <v>0</v>
      </c>
      <c r="P82" s="33">
        <v>0</v>
      </c>
      <c r="Q82" s="56">
        <v>1</v>
      </c>
      <c r="R82" s="56" t="s">
        <v>41</v>
      </c>
      <c r="S82" s="56" t="s">
        <v>41</v>
      </c>
      <c r="T82" s="56">
        <v>1</v>
      </c>
      <c r="U82" s="116">
        <v>0</v>
      </c>
      <c r="V82" s="116">
        <v>0</v>
      </c>
      <c r="W82" s="116">
        <v>0</v>
      </c>
      <c r="X82" s="116">
        <v>0</v>
      </c>
      <c r="Y82" s="116">
        <v>1</v>
      </c>
      <c r="Z82" s="116">
        <v>1</v>
      </c>
      <c r="AA82" s="116">
        <v>0</v>
      </c>
      <c r="AB82" s="116">
        <v>0</v>
      </c>
      <c r="AC82" s="10" t="s">
        <v>91</v>
      </c>
    </row>
    <row r="83" spans="2:29" x14ac:dyDescent="0.15">
      <c r="B83" s="105" t="s">
        <v>313</v>
      </c>
      <c r="C83" s="105" t="s">
        <v>872</v>
      </c>
      <c r="D83" s="32" t="s">
        <v>314</v>
      </c>
      <c r="E83" s="33">
        <v>8510</v>
      </c>
      <c r="F83" s="33">
        <v>0</v>
      </c>
      <c r="G83" s="33">
        <v>543</v>
      </c>
      <c r="H83" s="33">
        <v>9053</v>
      </c>
      <c r="I83" s="33">
        <v>5738</v>
      </c>
      <c r="J83" s="33">
        <v>0</v>
      </c>
      <c r="K83" s="33">
        <v>543</v>
      </c>
      <c r="L83" s="33">
        <v>6281</v>
      </c>
      <c r="M83" s="33">
        <v>2772</v>
      </c>
      <c r="N83" s="33">
        <v>0</v>
      </c>
      <c r="O83" s="33">
        <v>0</v>
      </c>
      <c r="P83" s="33">
        <v>2772</v>
      </c>
      <c r="Q83" s="56">
        <v>0.69380315917375457</v>
      </c>
      <c r="R83" s="56">
        <v>0.67426556991774378</v>
      </c>
      <c r="S83" s="56" t="s">
        <v>41</v>
      </c>
      <c r="T83" s="56">
        <v>1</v>
      </c>
      <c r="U83" s="116">
        <v>1638</v>
      </c>
      <c r="V83" s="116">
        <v>0</v>
      </c>
      <c r="W83" s="116">
        <v>0</v>
      </c>
      <c r="X83" s="116">
        <v>1638</v>
      </c>
      <c r="Y83" s="116">
        <v>572</v>
      </c>
      <c r="Z83" s="116">
        <v>2210</v>
      </c>
      <c r="AA83" s="116">
        <v>644</v>
      </c>
      <c r="AB83" s="116">
        <v>190</v>
      </c>
      <c r="AC83" s="10" t="s">
        <v>59</v>
      </c>
    </row>
    <row r="84" spans="2:29" x14ac:dyDescent="0.15">
      <c r="B84" s="105" t="s">
        <v>405</v>
      </c>
      <c r="C84" s="105" t="s">
        <v>872</v>
      </c>
      <c r="D84" s="32" t="s">
        <v>406</v>
      </c>
      <c r="E84" s="33">
        <v>10834</v>
      </c>
      <c r="F84" s="33">
        <v>0</v>
      </c>
      <c r="G84" s="33">
        <v>3851</v>
      </c>
      <c r="H84" s="33">
        <v>14685</v>
      </c>
      <c r="I84" s="33">
        <v>7938</v>
      </c>
      <c r="J84" s="33">
        <v>0</v>
      </c>
      <c r="K84" s="33">
        <v>3759</v>
      </c>
      <c r="L84" s="33">
        <v>11697</v>
      </c>
      <c r="M84" s="33">
        <v>2896</v>
      </c>
      <c r="N84" s="33">
        <v>0</v>
      </c>
      <c r="O84" s="33">
        <v>92</v>
      </c>
      <c r="P84" s="33">
        <v>2988</v>
      </c>
      <c r="Q84" s="56">
        <v>0.7965270684371808</v>
      </c>
      <c r="R84" s="56">
        <v>0.73269337271552515</v>
      </c>
      <c r="S84" s="56" t="s">
        <v>41</v>
      </c>
      <c r="T84" s="56">
        <v>0.97611010127239684</v>
      </c>
      <c r="U84" s="116">
        <v>3484</v>
      </c>
      <c r="V84" s="116">
        <v>0</v>
      </c>
      <c r="W84" s="116">
        <v>0</v>
      </c>
      <c r="X84" s="116">
        <v>3484</v>
      </c>
      <c r="Y84" s="116">
        <v>2574</v>
      </c>
      <c r="Z84" s="116">
        <v>6058</v>
      </c>
      <c r="AA84" s="116">
        <v>1031</v>
      </c>
      <c r="AB84" s="116">
        <v>155</v>
      </c>
      <c r="AC84" s="10" t="s">
        <v>123</v>
      </c>
    </row>
    <row r="85" spans="2:29" x14ac:dyDescent="0.15">
      <c r="B85" s="105" t="s">
        <v>392</v>
      </c>
      <c r="C85" s="105" t="s">
        <v>872</v>
      </c>
      <c r="D85" s="32" t="s">
        <v>821</v>
      </c>
      <c r="E85" s="33">
        <v>0</v>
      </c>
      <c r="F85" s="33">
        <v>0</v>
      </c>
      <c r="G85" s="33">
        <v>0</v>
      </c>
      <c r="H85" s="33">
        <v>0</v>
      </c>
      <c r="I85" s="33">
        <v>0</v>
      </c>
      <c r="J85" s="33">
        <v>0</v>
      </c>
      <c r="K85" s="33">
        <v>0</v>
      </c>
      <c r="L85" s="33">
        <v>0</v>
      </c>
      <c r="M85" s="33">
        <v>0</v>
      </c>
      <c r="N85" s="33">
        <v>0</v>
      </c>
      <c r="O85" s="33">
        <v>0</v>
      </c>
      <c r="P85" s="33">
        <v>0</v>
      </c>
      <c r="Q85" s="56" t="s">
        <v>41</v>
      </c>
      <c r="R85" s="56" t="s">
        <v>41</v>
      </c>
      <c r="S85" s="56" t="s">
        <v>41</v>
      </c>
      <c r="T85" s="56" t="s">
        <v>41</v>
      </c>
      <c r="U85" s="116">
        <v>0</v>
      </c>
      <c r="V85" s="116">
        <v>0</v>
      </c>
      <c r="W85" s="116">
        <v>0</v>
      </c>
      <c r="X85" s="116">
        <v>0</v>
      </c>
      <c r="Y85" s="116">
        <v>40</v>
      </c>
      <c r="Z85" s="116">
        <v>40</v>
      </c>
      <c r="AA85" s="116">
        <v>0</v>
      </c>
      <c r="AB85" s="116">
        <v>0</v>
      </c>
      <c r="AC85" s="10" t="s">
        <v>107</v>
      </c>
    </row>
    <row r="86" spans="2:29" x14ac:dyDescent="0.15">
      <c r="B86" s="105" t="s">
        <v>407</v>
      </c>
      <c r="C86" s="105" t="s">
        <v>872</v>
      </c>
      <c r="D86" s="32" t="s">
        <v>408</v>
      </c>
      <c r="E86" s="33">
        <v>11329</v>
      </c>
      <c r="F86" s="33">
        <v>1627</v>
      </c>
      <c r="G86" s="33">
        <v>6962</v>
      </c>
      <c r="H86" s="33">
        <v>19918</v>
      </c>
      <c r="I86" s="33">
        <v>7446</v>
      </c>
      <c r="J86" s="33">
        <v>1582</v>
      </c>
      <c r="K86" s="33">
        <v>6764</v>
      </c>
      <c r="L86" s="33">
        <v>15792</v>
      </c>
      <c r="M86" s="33">
        <v>3883</v>
      </c>
      <c r="N86" s="33">
        <v>45</v>
      </c>
      <c r="O86" s="33">
        <v>198</v>
      </c>
      <c r="P86" s="33">
        <v>4126</v>
      </c>
      <c r="Q86" s="56">
        <v>0.79285068782006229</v>
      </c>
      <c r="R86" s="56">
        <v>0.65725130196839965</v>
      </c>
      <c r="S86" s="56">
        <v>0.97234173325138296</v>
      </c>
      <c r="T86" s="56">
        <v>0.97155989658144215</v>
      </c>
      <c r="U86" s="116">
        <v>6544</v>
      </c>
      <c r="V86" s="116">
        <v>0</v>
      </c>
      <c r="W86" s="116">
        <v>58</v>
      </c>
      <c r="X86" s="116">
        <v>6602</v>
      </c>
      <c r="Y86" s="116">
        <v>810</v>
      </c>
      <c r="Z86" s="116">
        <v>7412</v>
      </c>
      <c r="AA86" s="116">
        <v>1342</v>
      </c>
      <c r="AB86" s="116">
        <v>506</v>
      </c>
      <c r="AC86" s="10" t="s">
        <v>123</v>
      </c>
    </row>
    <row r="87" spans="2:29" x14ac:dyDescent="0.15">
      <c r="B87" s="105" t="s">
        <v>388</v>
      </c>
      <c r="C87" s="105" t="s">
        <v>872</v>
      </c>
      <c r="D87" s="32" t="s">
        <v>389</v>
      </c>
      <c r="E87" s="33">
        <v>11747</v>
      </c>
      <c r="F87" s="33">
        <v>0</v>
      </c>
      <c r="G87" s="33">
        <v>2588</v>
      </c>
      <c r="H87" s="33">
        <v>14335</v>
      </c>
      <c r="I87" s="33">
        <v>5069</v>
      </c>
      <c r="J87" s="33">
        <v>0</v>
      </c>
      <c r="K87" s="33">
        <v>2242</v>
      </c>
      <c r="L87" s="33">
        <v>7311</v>
      </c>
      <c r="M87" s="33">
        <v>6678</v>
      </c>
      <c r="N87" s="33">
        <v>0</v>
      </c>
      <c r="O87" s="33">
        <v>346</v>
      </c>
      <c r="P87" s="33">
        <v>7024</v>
      </c>
      <c r="Q87" s="56">
        <v>0.51001046389954652</v>
      </c>
      <c r="R87" s="56">
        <v>0.43151442921597005</v>
      </c>
      <c r="S87" s="56" t="s">
        <v>41</v>
      </c>
      <c r="T87" s="56">
        <v>0.86630602782071098</v>
      </c>
      <c r="U87" s="116">
        <v>3708</v>
      </c>
      <c r="V87" s="116">
        <v>0</v>
      </c>
      <c r="W87" s="116">
        <v>209</v>
      </c>
      <c r="X87" s="116">
        <v>3917</v>
      </c>
      <c r="Y87" s="116">
        <v>2094</v>
      </c>
      <c r="Z87" s="116">
        <v>6011</v>
      </c>
      <c r="AA87" s="116">
        <v>1912</v>
      </c>
      <c r="AB87" s="116">
        <v>1373</v>
      </c>
      <c r="AC87" s="10" t="s">
        <v>107</v>
      </c>
    </row>
    <row r="88" spans="2:29" x14ac:dyDescent="0.15">
      <c r="B88" s="105" t="s">
        <v>362</v>
      </c>
      <c r="C88" s="105" t="s">
        <v>872</v>
      </c>
      <c r="D88" s="32" t="s">
        <v>363</v>
      </c>
      <c r="E88" s="33">
        <v>17584</v>
      </c>
      <c r="F88" s="33">
        <v>0</v>
      </c>
      <c r="G88" s="33">
        <v>4440</v>
      </c>
      <c r="H88" s="33">
        <v>22024</v>
      </c>
      <c r="I88" s="33">
        <v>11191</v>
      </c>
      <c r="J88" s="33">
        <v>0</v>
      </c>
      <c r="K88" s="33">
        <v>3955</v>
      </c>
      <c r="L88" s="33">
        <v>15146</v>
      </c>
      <c r="M88" s="33">
        <v>6393</v>
      </c>
      <c r="N88" s="33">
        <v>0</v>
      </c>
      <c r="O88" s="33">
        <v>485</v>
      </c>
      <c r="P88" s="33">
        <v>6878</v>
      </c>
      <c r="Q88" s="56">
        <v>0.68770432255721037</v>
      </c>
      <c r="R88" s="56">
        <v>0.63643084622383983</v>
      </c>
      <c r="S88" s="56" t="s">
        <v>41</v>
      </c>
      <c r="T88" s="56">
        <v>0.89076576576576572</v>
      </c>
      <c r="U88" s="116">
        <v>4773</v>
      </c>
      <c r="V88" s="116">
        <v>0</v>
      </c>
      <c r="W88" s="116">
        <v>0</v>
      </c>
      <c r="X88" s="116">
        <v>4773</v>
      </c>
      <c r="Y88" s="116">
        <v>1211</v>
      </c>
      <c r="Z88" s="116">
        <v>5984</v>
      </c>
      <c r="AA88" s="116">
        <v>1975</v>
      </c>
      <c r="AB88" s="116">
        <v>1347</v>
      </c>
      <c r="AC88" s="10" t="s">
        <v>91</v>
      </c>
    </row>
    <row r="89" spans="2:29" x14ac:dyDescent="0.15">
      <c r="B89" s="105" t="s">
        <v>300</v>
      </c>
      <c r="C89" s="105" t="s">
        <v>872</v>
      </c>
      <c r="D89" s="32" t="s">
        <v>301</v>
      </c>
      <c r="E89" s="33">
        <v>34437</v>
      </c>
      <c r="F89" s="33">
        <v>407</v>
      </c>
      <c r="G89" s="33">
        <v>12413</v>
      </c>
      <c r="H89" s="33">
        <v>47257</v>
      </c>
      <c r="I89" s="33">
        <v>19748</v>
      </c>
      <c r="J89" s="33">
        <v>407</v>
      </c>
      <c r="K89" s="33">
        <v>12359</v>
      </c>
      <c r="L89" s="33">
        <v>32514</v>
      </c>
      <c r="M89" s="33">
        <v>14689</v>
      </c>
      <c r="N89" s="33">
        <v>0</v>
      </c>
      <c r="O89" s="33">
        <v>54</v>
      </c>
      <c r="P89" s="33">
        <v>14743</v>
      </c>
      <c r="Q89" s="56">
        <v>0.68802505448928197</v>
      </c>
      <c r="R89" s="56">
        <v>0.57345297209396873</v>
      </c>
      <c r="S89" s="56">
        <v>1</v>
      </c>
      <c r="T89" s="56">
        <v>0.99564972206557645</v>
      </c>
      <c r="U89" s="116">
        <v>10284</v>
      </c>
      <c r="V89" s="116">
        <v>0</v>
      </c>
      <c r="W89" s="116">
        <v>0</v>
      </c>
      <c r="X89" s="116">
        <v>10284</v>
      </c>
      <c r="Y89" s="116">
        <v>8515</v>
      </c>
      <c r="Z89" s="116">
        <v>18799</v>
      </c>
      <c r="AA89" s="116">
        <v>3771</v>
      </c>
      <c r="AB89" s="116">
        <v>2085</v>
      </c>
      <c r="AC89" s="10" t="s">
        <v>47</v>
      </c>
    </row>
    <row r="90" spans="2:29" x14ac:dyDescent="0.15">
      <c r="B90" s="105" t="s">
        <v>315</v>
      </c>
      <c r="C90" s="105" t="s">
        <v>872</v>
      </c>
      <c r="D90" s="32" t="s">
        <v>726</v>
      </c>
      <c r="E90" s="33">
        <v>13154</v>
      </c>
      <c r="F90" s="33">
        <v>2778</v>
      </c>
      <c r="G90" s="33">
        <v>5874</v>
      </c>
      <c r="H90" s="33">
        <v>21806</v>
      </c>
      <c r="I90" s="33">
        <v>7987</v>
      </c>
      <c r="J90" s="33">
        <v>2691</v>
      </c>
      <c r="K90" s="33">
        <v>5751</v>
      </c>
      <c r="L90" s="33">
        <v>16429</v>
      </c>
      <c r="M90" s="33">
        <v>5167</v>
      </c>
      <c r="N90" s="33">
        <v>87</v>
      </c>
      <c r="O90" s="33">
        <v>123</v>
      </c>
      <c r="P90" s="33">
        <v>5377</v>
      </c>
      <c r="Q90" s="56">
        <v>0.75341649087407137</v>
      </c>
      <c r="R90" s="56">
        <v>0.60719172875171046</v>
      </c>
      <c r="S90" s="56">
        <v>0.96868250539956802</v>
      </c>
      <c r="T90" s="56">
        <v>0.97906026557711956</v>
      </c>
      <c r="U90" s="116">
        <v>1375</v>
      </c>
      <c r="V90" s="116">
        <v>44</v>
      </c>
      <c r="W90" s="116">
        <v>54</v>
      </c>
      <c r="X90" s="116">
        <v>1473</v>
      </c>
      <c r="Y90" s="116">
        <v>377</v>
      </c>
      <c r="Z90" s="116">
        <v>1850</v>
      </c>
      <c r="AA90" s="116">
        <v>72</v>
      </c>
      <c r="AB90" s="116">
        <v>18</v>
      </c>
      <c r="AC90" s="10" t="s">
        <v>59</v>
      </c>
    </row>
    <row r="91" spans="2:29" x14ac:dyDescent="0.15">
      <c r="B91" s="105" t="s">
        <v>332</v>
      </c>
      <c r="C91" s="105" t="s">
        <v>872</v>
      </c>
      <c r="D91" s="32" t="s">
        <v>333</v>
      </c>
      <c r="E91" s="33">
        <v>21190</v>
      </c>
      <c r="F91" s="33">
        <v>0</v>
      </c>
      <c r="G91" s="33">
        <v>9568</v>
      </c>
      <c r="H91" s="33">
        <v>30758</v>
      </c>
      <c r="I91" s="33">
        <v>11055</v>
      </c>
      <c r="J91" s="33">
        <v>0</v>
      </c>
      <c r="K91" s="33">
        <v>9557</v>
      </c>
      <c r="L91" s="33">
        <v>20612</v>
      </c>
      <c r="M91" s="33">
        <v>10135</v>
      </c>
      <c r="N91" s="33">
        <v>0</v>
      </c>
      <c r="O91" s="33">
        <v>11</v>
      </c>
      <c r="P91" s="33">
        <v>10146</v>
      </c>
      <c r="Q91" s="56">
        <v>0.67013459912868201</v>
      </c>
      <c r="R91" s="56">
        <v>0.5217083529966966</v>
      </c>
      <c r="S91" s="56" t="s">
        <v>41</v>
      </c>
      <c r="T91" s="56">
        <v>0.99885033444816052</v>
      </c>
      <c r="U91" s="116">
        <v>3946</v>
      </c>
      <c r="V91" s="116">
        <v>0</v>
      </c>
      <c r="W91" s="116">
        <v>0</v>
      </c>
      <c r="X91" s="116">
        <v>3946</v>
      </c>
      <c r="Y91" s="116">
        <v>2773</v>
      </c>
      <c r="Z91" s="116">
        <v>6719</v>
      </c>
      <c r="AA91" s="116">
        <v>1802</v>
      </c>
      <c r="AB91" s="116">
        <v>794</v>
      </c>
      <c r="AC91" s="10" t="s">
        <v>85</v>
      </c>
    </row>
    <row r="92" spans="2:29" x14ac:dyDescent="0.15">
      <c r="B92" s="105" t="s">
        <v>357</v>
      </c>
      <c r="C92" s="105" t="s">
        <v>872</v>
      </c>
      <c r="D92" s="32" t="s">
        <v>727</v>
      </c>
      <c r="E92" s="33">
        <v>24152</v>
      </c>
      <c r="F92" s="33">
        <v>2198</v>
      </c>
      <c r="G92" s="33">
        <v>0</v>
      </c>
      <c r="H92" s="33">
        <v>26350</v>
      </c>
      <c r="I92" s="33">
        <v>14347</v>
      </c>
      <c r="J92" s="33">
        <v>2012</v>
      </c>
      <c r="K92" s="33">
        <v>0</v>
      </c>
      <c r="L92" s="33">
        <v>16359</v>
      </c>
      <c r="M92" s="33">
        <v>9805</v>
      </c>
      <c r="N92" s="33">
        <v>186</v>
      </c>
      <c r="O92" s="33">
        <v>0</v>
      </c>
      <c r="P92" s="33">
        <v>9991</v>
      </c>
      <c r="Q92" s="56">
        <v>0.62083491461100571</v>
      </c>
      <c r="R92" s="56">
        <v>0.59402947996025179</v>
      </c>
      <c r="S92" s="56">
        <v>0.91537761601455869</v>
      </c>
      <c r="T92" s="56" t="s">
        <v>41</v>
      </c>
      <c r="U92" s="116">
        <v>6766</v>
      </c>
      <c r="V92" s="116">
        <v>5</v>
      </c>
      <c r="W92" s="116">
        <v>0</v>
      </c>
      <c r="X92" s="116">
        <v>6771</v>
      </c>
      <c r="Y92" s="116">
        <v>3841</v>
      </c>
      <c r="Z92" s="116">
        <v>10612</v>
      </c>
      <c r="AA92" s="116">
        <v>1639</v>
      </c>
      <c r="AB92" s="116">
        <v>499</v>
      </c>
      <c r="AC92" s="10" t="s">
        <v>89</v>
      </c>
    </row>
    <row r="93" spans="2:29" x14ac:dyDescent="0.15">
      <c r="B93" s="105" t="s">
        <v>393</v>
      </c>
      <c r="C93" s="105" t="s">
        <v>872</v>
      </c>
      <c r="D93" s="32" t="s">
        <v>728</v>
      </c>
      <c r="E93" s="33">
        <v>15160</v>
      </c>
      <c r="F93" s="33">
        <v>540</v>
      </c>
      <c r="G93" s="33">
        <v>9198</v>
      </c>
      <c r="H93" s="33">
        <v>24898</v>
      </c>
      <c r="I93" s="33">
        <v>6860</v>
      </c>
      <c r="J93" s="33">
        <v>540</v>
      </c>
      <c r="K93" s="33">
        <v>9017</v>
      </c>
      <c r="L93" s="33">
        <v>16417</v>
      </c>
      <c r="M93" s="33">
        <v>8300</v>
      </c>
      <c r="N93" s="33">
        <v>0</v>
      </c>
      <c r="O93" s="33">
        <v>181</v>
      </c>
      <c r="P93" s="33">
        <v>8481</v>
      </c>
      <c r="Q93" s="56">
        <v>0.65937023054060562</v>
      </c>
      <c r="R93" s="56">
        <v>0.4525065963060686</v>
      </c>
      <c r="S93" s="56">
        <v>1</v>
      </c>
      <c r="T93" s="56">
        <v>0.98032180908893241</v>
      </c>
      <c r="U93" s="116">
        <v>4724</v>
      </c>
      <c r="V93" s="116">
        <v>0</v>
      </c>
      <c r="W93" s="116">
        <v>0</v>
      </c>
      <c r="X93" s="116">
        <v>4724</v>
      </c>
      <c r="Y93" s="116">
        <v>1167</v>
      </c>
      <c r="Z93" s="116">
        <v>5891</v>
      </c>
      <c r="AA93" s="116">
        <v>1772</v>
      </c>
      <c r="AB93" s="116">
        <v>640</v>
      </c>
      <c r="AC93" s="10" t="s">
        <v>115</v>
      </c>
    </row>
    <row r="94" spans="2:29" x14ac:dyDescent="0.15">
      <c r="B94" s="105" t="s">
        <v>409</v>
      </c>
      <c r="C94" s="105" t="s">
        <v>872</v>
      </c>
      <c r="D94" s="32" t="s">
        <v>410</v>
      </c>
      <c r="E94" s="33">
        <v>10447</v>
      </c>
      <c r="F94" s="33">
        <v>0</v>
      </c>
      <c r="G94" s="33">
        <v>4184</v>
      </c>
      <c r="H94" s="33">
        <v>14631</v>
      </c>
      <c r="I94" s="33">
        <v>6971</v>
      </c>
      <c r="J94" s="33">
        <v>0</v>
      </c>
      <c r="K94" s="33">
        <v>4009</v>
      </c>
      <c r="L94" s="33">
        <v>10980</v>
      </c>
      <c r="M94" s="33">
        <v>3476</v>
      </c>
      <c r="N94" s="33">
        <v>0</v>
      </c>
      <c r="O94" s="33">
        <v>175</v>
      </c>
      <c r="P94" s="33">
        <v>3651</v>
      </c>
      <c r="Q94" s="56">
        <v>0.7504613491900759</v>
      </c>
      <c r="R94" s="56">
        <v>0.66727290131138128</v>
      </c>
      <c r="S94" s="56" t="s">
        <v>41</v>
      </c>
      <c r="T94" s="56">
        <v>0.95817399617590826</v>
      </c>
      <c r="U94" s="116">
        <v>4515</v>
      </c>
      <c r="V94" s="116">
        <v>0</v>
      </c>
      <c r="W94" s="116">
        <v>0</v>
      </c>
      <c r="X94" s="116">
        <v>4515</v>
      </c>
      <c r="Y94" s="116">
        <v>860</v>
      </c>
      <c r="Z94" s="116">
        <v>5375</v>
      </c>
      <c r="AA94" s="116">
        <v>1610</v>
      </c>
      <c r="AB94" s="116">
        <v>339</v>
      </c>
      <c r="AC94" s="10" t="s">
        <v>123</v>
      </c>
    </row>
    <row r="95" spans="2:29" x14ac:dyDescent="0.15">
      <c r="B95" s="105" t="s">
        <v>316</v>
      </c>
      <c r="C95" s="105" t="s">
        <v>872</v>
      </c>
      <c r="D95" s="32" t="s">
        <v>317</v>
      </c>
      <c r="E95" s="33">
        <v>14684</v>
      </c>
      <c r="F95" s="33">
        <v>0</v>
      </c>
      <c r="G95" s="33">
        <v>6398</v>
      </c>
      <c r="H95" s="33">
        <v>21082</v>
      </c>
      <c r="I95" s="33">
        <v>7755</v>
      </c>
      <c r="J95" s="33">
        <v>0</v>
      </c>
      <c r="K95" s="33">
        <v>6264</v>
      </c>
      <c r="L95" s="33">
        <v>14019</v>
      </c>
      <c r="M95" s="33">
        <v>6929</v>
      </c>
      <c r="N95" s="33">
        <v>0</v>
      </c>
      <c r="O95" s="33">
        <v>134</v>
      </c>
      <c r="P95" s="33">
        <v>7063</v>
      </c>
      <c r="Q95" s="56">
        <v>0.66497486007020212</v>
      </c>
      <c r="R95" s="56">
        <v>0.52812585126668488</v>
      </c>
      <c r="S95" s="56" t="s">
        <v>41</v>
      </c>
      <c r="T95" s="56">
        <v>0.97905595498593312</v>
      </c>
      <c r="U95" s="116">
        <v>3204</v>
      </c>
      <c r="V95" s="116">
        <v>0</v>
      </c>
      <c r="W95" s="116">
        <v>0</v>
      </c>
      <c r="X95" s="116">
        <v>3204</v>
      </c>
      <c r="Y95" s="116">
        <v>802</v>
      </c>
      <c r="Z95" s="116">
        <v>4006</v>
      </c>
      <c r="AA95" s="116">
        <v>1819</v>
      </c>
      <c r="AB95" s="116">
        <v>1062</v>
      </c>
      <c r="AC95" s="10" t="s">
        <v>79</v>
      </c>
    </row>
    <row r="96" spans="2:29" x14ac:dyDescent="0.15">
      <c r="B96" s="105" t="s">
        <v>318</v>
      </c>
      <c r="C96" s="105" t="s">
        <v>872</v>
      </c>
      <c r="D96" s="32" t="s">
        <v>319</v>
      </c>
      <c r="E96" s="33">
        <v>6357</v>
      </c>
      <c r="F96" s="33">
        <v>976</v>
      </c>
      <c r="G96" s="33">
        <v>148</v>
      </c>
      <c r="H96" s="33">
        <v>7481</v>
      </c>
      <c r="I96" s="33">
        <v>3749</v>
      </c>
      <c r="J96" s="33">
        <v>976</v>
      </c>
      <c r="K96" s="33">
        <v>148</v>
      </c>
      <c r="L96" s="33">
        <v>4873</v>
      </c>
      <c r="M96" s="33">
        <v>2608</v>
      </c>
      <c r="N96" s="33">
        <v>0</v>
      </c>
      <c r="O96" s="33">
        <v>0</v>
      </c>
      <c r="P96" s="33">
        <v>2608</v>
      </c>
      <c r="Q96" s="56">
        <v>0.65138350487902685</v>
      </c>
      <c r="R96" s="56">
        <v>0.58974358974358976</v>
      </c>
      <c r="S96" s="56">
        <v>1</v>
      </c>
      <c r="T96" s="56">
        <v>1</v>
      </c>
      <c r="U96" s="116">
        <v>1423</v>
      </c>
      <c r="V96" s="116">
        <v>0</v>
      </c>
      <c r="W96" s="116">
        <v>0</v>
      </c>
      <c r="X96" s="116">
        <v>1423</v>
      </c>
      <c r="Y96" s="116">
        <v>178</v>
      </c>
      <c r="Z96" s="116">
        <v>1601</v>
      </c>
      <c r="AA96" s="116">
        <v>583</v>
      </c>
      <c r="AB96" s="116">
        <v>135</v>
      </c>
      <c r="AC96" s="10" t="s">
        <v>79</v>
      </c>
    </row>
    <row r="97" spans="2:29" x14ac:dyDescent="0.15">
      <c r="B97" s="105" t="s">
        <v>529</v>
      </c>
      <c r="C97" s="105" t="s">
        <v>869</v>
      </c>
      <c r="D97" s="32" t="s">
        <v>530</v>
      </c>
      <c r="E97" s="33">
        <v>6134</v>
      </c>
      <c r="F97" s="33">
        <v>278</v>
      </c>
      <c r="G97" s="33">
        <v>0</v>
      </c>
      <c r="H97" s="33">
        <v>6412</v>
      </c>
      <c r="I97" s="33">
        <v>3530</v>
      </c>
      <c r="J97" s="33">
        <v>278</v>
      </c>
      <c r="K97" s="33">
        <v>0</v>
      </c>
      <c r="L97" s="33">
        <v>3808</v>
      </c>
      <c r="M97" s="33">
        <v>2604</v>
      </c>
      <c r="N97" s="33">
        <v>0</v>
      </c>
      <c r="O97" s="33">
        <v>0</v>
      </c>
      <c r="P97" s="33">
        <v>2604</v>
      </c>
      <c r="Q97" s="56">
        <v>0.59388646288209612</v>
      </c>
      <c r="R97" s="56">
        <v>0.57548092598630585</v>
      </c>
      <c r="S97" s="56">
        <v>1</v>
      </c>
      <c r="T97" s="56" t="s">
        <v>41</v>
      </c>
      <c r="U97" s="116">
        <v>1511</v>
      </c>
      <c r="V97" s="116">
        <v>0</v>
      </c>
      <c r="W97" s="116">
        <v>0</v>
      </c>
      <c r="X97" s="116">
        <v>1511</v>
      </c>
      <c r="Y97" s="116">
        <v>487</v>
      </c>
      <c r="Z97" s="116">
        <v>1998</v>
      </c>
      <c r="AA97" s="116">
        <v>570</v>
      </c>
      <c r="AB97" s="116">
        <v>181</v>
      </c>
      <c r="AC97" s="10" t="s">
        <v>125</v>
      </c>
    </row>
    <row r="98" spans="2:29" x14ac:dyDescent="0.15">
      <c r="B98" s="105" t="s">
        <v>521</v>
      </c>
      <c r="C98" s="105" t="s">
        <v>869</v>
      </c>
      <c r="D98" s="32" t="s">
        <v>522</v>
      </c>
      <c r="E98" s="33">
        <v>10086</v>
      </c>
      <c r="F98" s="33">
        <v>0</v>
      </c>
      <c r="G98" s="33">
        <v>0</v>
      </c>
      <c r="H98" s="33">
        <v>10086</v>
      </c>
      <c r="I98" s="33">
        <v>7185</v>
      </c>
      <c r="J98" s="33">
        <v>0</v>
      </c>
      <c r="K98" s="33">
        <v>0</v>
      </c>
      <c r="L98" s="33">
        <v>7185</v>
      </c>
      <c r="M98" s="33">
        <v>2901</v>
      </c>
      <c r="N98" s="33">
        <v>0</v>
      </c>
      <c r="O98" s="33">
        <v>0</v>
      </c>
      <c r="P98" s="33">
        <v>2901</v>
      </c>
      <c r="Q98" s="56">
        <v>0.71237358715050569</v>
      </c>
      <c r="R98" s="56">
        <v>0.71237358715050569</v>
      </c>
      <c r="S98" s="56" t="s">
        <v>41</v>
      </c>
      <c r="T98" s="56" t="s">
        <v>41</v>
      </c>
      <c r="U98" s="116">
        <v>3464</v>
      </c>
      <c r="V98" s="116">
        <v>0</v>
      </c>
      <c r="W98" s="116">
        <v>0</v>
      </c>
      <c r="X98" s="116">
        <v>3464</v>
      </c>
      <c r="Y98" s="116">
        <v>485</v>
      </c>
      <c r="Z98" s="116">
        <v>3949</v>
      </c>
      <c r="AA98" s="116">
        <v>739</v>
      </c>
      <c r="AB98" s="116">
        <v>109</v>
      </c>
      <c r="AC98" s="10" t="s">
        <v>113</v>
      </c>
    </row>
    <row r="99" spans="2:29" x14ac:dyDescent="0.15">
      <c r="B99" s="105" t="s">
        <v>531</v>
      </c>
      <c r="C99" s="105" t="s">
        <v>869</v>
      </c>
      <c r="D99" s="32" t="s">
        <v>532</v>
      </c>
      <c r="E99" s="33">
        <v>9332</v>
      </c>
      <c r="F99" s="33">
        <v>861</v>
      </c>
      <c r="G99" s="33">
        <v>3753</v>
      </c>
      <c r="H99" s="33">
        <v>13946</v>
      </c>
      <c r="I99" s="33">
        <v>6849</v>
      </c>
      <c r="J99" s="33">
        <v>861</v>
      </c>
      <c r="K99" s="33">
        <v>3745</v>
      </c>
      <c r="L99" s="33">
        <v>11455</v>
      </c>
      <c r="M99" s="33">
        <v>2483</v>
      </c>
      <c r="N99" s="33">
        <v>0</v>
      </c>
      <c r="O99" s="33">
        <v>8</v>
      </c>
      <c r="P99" s="33">
        <v>2491</v>
      </c>
      <c r="Q99" s="56">
        <v>0.82138247526172381</v>
      </c>
      <c r="R99" s="56">
        <v>0.73392627518216891</v>
      </c>
      <c r="S99" s="56">
        <v>1</v>
      </c>
      <c r="T99" s="56">
        <v>0.99786837196909139</v>
      </c>
      <c r="U99" s="116">
        <v>2582</v>
      </c>
      <c r="V99" s="116">
        <v>0</v>
      </c>
      <c r="W99" s="116">
        <v>8</v>
      </c>
      <c r="X99" s="116">
        <v>2590</v>
      </c>
      <c r="Y99" s="116">
        <v>1210</v>
      </c>
      <c r="Z99" s="116">
        <v>3800</v>
      </c>
      <c r="AA99" s="116">
        <v>848</v>
      </c>
      <c r="AB99" s="116">
        <v>215</v>
      </c>
      <c r="AC99" s="10" t="s">
        <v>125</v>
      </c>
    </row>
    <row r="100" spans="2:29" x14ac:dyDescent="0.15">
      <c r="B100" s="105" t="s">
        <v>498</v>
      </c>
      <c r="C100" s="105" t="s">
        <v>869</v>
      </c>
      <c r="D100" s="32" t="s">
        <v>499</v>
      </c>
      <c r="E100" s="33">
        <v>0</v>
      </c>
      <c r="F100" s="33">
        <v>0</v>
      </c>
      <c r="G100" s="33">
        <v>3624</v>
      </c>
      <c r="H100" s="33">
        <v>3624</v>
      </c>
      <c r="I100" s="33">
        <v>0</v>
      </c>
      <c r="J100" s="33">
        <v>0</v>
      </c>
      <c r="K100" s="33">
        <v>3142</v>
      </c>
      <c r="L100" s="33">
        <v>3142</v>
      </c>
      <c r="M100" s="33">
        <v>0</v>
      </c>
      <c r="N100" s="33">
        <v>0</v>
      </c>
      <c r="O100" s="33">
        <v>482</v>
      </c>
      <c r="P100" s="33">
        <v>482</v>
      </c>
      <c r="Q100" s="56">
        <v>0.86699779249448128</v>
      </c>
      <c r="R100" s="56" t="s">
        <v>41</v>
      </c>
      <c r="S100" s="56" t="s">
        <v>41</v>
      </c>
      <c r="T100" s="56">
        <v>0.86699779249448128</v>
      </c>
      <c r="U100" s="116">
        <v>0</v>
      </c>
      <c r="V100" s="116">
        <v>0</v>
      </c>
      <c r="W100" s="116">
        <v>0</v>
      </c>
      <c r="X100" s="116">
        <v>0</v>
      </c>
      <c r="Y100" s="116">
        <v>0</v>
      </c>
      <c r="Z100" s="116">
        <v>0</v>
      </c>
      <c r="AA100" s="116">
        <v>0</v>
      </c>
      <c r="AB100" s="116">
        <v>0</v>
      </c>
      <c r="AC100" s="10" t="s">
        <v>83</v>
      </c>
    </row>
    <row r="101" spans="2:29" x14ac:dyDescent="0.15">
      <c r="B101" s="105" t="s">
        <v>500</v>
      </c>
      <c r="C101" s="105" t="s">
        <v>869</v>
      </c>
      <c r="D101" s="32" t="s">
        <v>501</v>
      </c>
      <c r="E101" s="33">
        <v>0</v>
      </c>
      <c r="F101" s="33">
        <v>0</v>
      </c>
      <c r="G101" s="33">
        <v>1478</v>
      </c>
      <c r="H101" s="33">
        <v>1478</v>
      </c>
      <c r="I101" s="33">
        <v>0</v>
      </c>
      <c r="J101" s="33">
        <v>0</v>
      </c>
      <c r="K101" s="33">
        <v>1396</v>
      </c>
      <c r="L101" s="33">
        <v>1396</v>
      </c>
      <c r="M101" s="33">
        <v>0</v>
      </c>
      <c r="N101" s="33">
        <v>0</v>
      </c>
      <c r="O101" s="33">
        <v>82</v>
      </c>
      <c r="P101" s="33">
        <v>82</v>
      </c>
      <c r="Q101" s="56">
        <v>0.94451962110960763</v>
      </c>
      <c r="R101" s="56" t="s">
        <v>41</v>
      </c>
      <c r="S101" s="56" t="s">
        <v>41</v>
      </c>
      <c r="T101" s="56">
        <v>0.94451962110960763</v>
      </c>
      <c r="U101" s="116">
        <v>0</v>
      </c>
      <c r="V101" s="116">
        <v>0</v>
      </c>
      <c r="W101" s="116">
        <v>0</v>
      </c>
      <c r="X101" s="116">
        <v>0</v>
      </c>
      <c r="Y101" s="116">
        <v>0</v>
      </c>
      <c r="Z101" s="116">
        <v>0</v>
      </c>
      <c r="AA101" s="116">
        <v>0</v>
      </c>
      <c r="AB101" s="116">
        <v>0</v>
      </c>
      <c r="AC101" s="10" t="s">
        <v>83</v>
      </c>
    </row>
    <row r="102" spans="2:29" x14ac:dyDescent="0.15">
      <c r="B102" s="105" t="s">
        <v>533</v>
      </c>
      <c r="C102" s="105" t="s">
        <v>869</v>
      </c>
      <c r="D102" s="32" t="s">
        <v>729</v>
      </c>
      <c r="E102" s="33">
        <v>16465</v>
      </c>
      <c r="F102" s="33">
        <v>0</v>
      </c>
      <c r="G102" s="33">
        <v>0</v>
      </c>
      <c r="H102" s="33">
        <v>16465</v>
      </c>
      <c r="I102" s="33">
        <v>14048</v>
      </c>
      <c r="J102" s="33">
        <v>0</v>
      </c>
      <c r="K102" s="33">
        <v>0</v>
      </c>
      <c r="L102" s="33">
        <v>14048</v>
      </c>
      <c r="M102" s="33">
        <v>2417</v>
      </c>
      <c r="N102" s="33">
        <v>0</v>
      </c>
      <c r="O102" s="33">
        <v>0</v>
      </c>
      <c r="P102" s="33">
        <v>2417</v>
      </c>
      <c r="Q102" s="56">
        <v>0.85320376556331612</v>
      </c>
      <c r="R102" s="56">
        <v>0.85320376556331612</v>
      </c>
      <c r="S102" s="56" t="s">
        <v>41</v>
      </c>
      <c r="T102" s="56" t="s">
        <v>41</v>
      </c>
      <c r="U102" s="116">
        <v>2876</v>
      </c>
      <c r="V102" s="116">
        <v>0</v>
      </c>
      <c r="W102" s="116">
        <v>0</v>
      </c>
      <c r="X102" s="116">
        <v>2876</v>
      </c>
      <c r="Y102" s="116">
        <v>200</v>
      </c>
      <c r="Z102" s="116">
        <v>3076</v>
      </c>
      <c r="AA102" s="116">
        <v>1127</v>
      </c>
      <c r="AB102" s="116">
        <v>41</v>
      </c>
      <c r="AC102" s="10" t="s">
        <v>125</v>
      </c>
    </row>
    <row r="103" spans="2:29" x14ac:dyDescent="0.15">
      <c r="B103" s="105" t="s">
        <v>445</v>
      </c>
      <c r="C103" s="105" t="s">
        <v>869</v>
      </c>
      <c r="D103" s="32" t="s">
        <v>730</v>
      </c>
      <c r="E103" s="33">
        <v>12901</v>
      </c>
      <c r="F103" s="33">
        <v>0</v>
      </c>
      <c r="G103" s="33">
        <v>3534</v>
      </c>
      <c r="H103" s="33">
        <v>16435</v>
      </c>
      <c r="I103" s="33">
        <v>7588</v>
      </c>
      <c r="J103" s="33">
        <v>0</v>
      </c>
      <c r="K103" s="33">
        <v>3534</v>
      </c>
      <c r="L103" s="33">
        <v>11122</v>
      </c>
      <c r="M103" s="33">
        <v>5313</v>
      </c>
      <c r="N103" s="33">
        <v>0</v>
      </c>
      <c r="O103" s="33">
        <v>0</v>
      </c>
      <c r="P103" s="33">
        <v>5313</v>
      </c>
      <c r="Q103" s="56">
        <v>0.6767264983267417</v>
      </c>
      <c r="R103" s="56">
        <v>0.58817145957677697</v>
      </c>
      <c r="S103" s="56" t="s">
        <v>41</v>
      </c>
      <c r="T103" s="56">
        <v>1</v>
      </c>
      <c r="U103" s="116">
        <v>4072</v>
      </c>
      <c r="V103" s="116">
        <v>0</v>
      </c>
      <c r="W103" s="116">
        <v>0</v>
      </c>
      <c r="X103" s="116">
        <v>4072</v>
      </c>
      <c r="Y103" s="116">
        <v>838</v>
      </c>
      <c r="Z103" s="116">
        <v>4910</v>
      </c>
      <c r="AA103" s="116">
        <v>1849</v>
      </c>
      <c r="AB103" s="116">
        <v>52</v>
      </c>
      <c r="AC103" s="10" t="s">
        <v>61</v>
      </c>
    </row>
    <row r="104" spans="2:29" x14ac:dyDescent="0.15">
      <c r="B104" s="105" t="s">
        <v>523</v>
      </c>
      <c r="C104" s="105" t="s">
        <v>869</v>
      </c>
      <c r="D104" s="32" t="s">
        <v>731</v>
      </c>
      <c r="E104" s="33">
        <v>14439</v>
      </c>
      <c r="F104" s="33">
        <v>0</v>
      </c>
      <c r="G104" s="33">
        <v>4120</v>
      </c>
      <c r="H104" s="33">
        <v>18559</v>
      </c>
      <c r="I104" s="33">
        <v>9492</v>
      </c>
      <c r="J104" s="33">
        <v>0</v>
      </c>
      <c r="K104" s="33">
        <v>4111</v>
      </c>
      <c r="L104" s="33">
        <v>13603</v>
      </c>
      <c r="M104" s="33">
        <v>4947</v>
      </c>
      <c r="N104" s="33">
        <v>0</v>
      </c>
      <c r="O104" s="33">
        <v>9</v>
      </c>
      <c r="P104" s="33">
        <v>4956</v>
      </c>
      <c r="Q104" s="56">
        <v>0.73295974998652946</v>
      </c>
      <c r="R104" s="56">
        <v>0.65738624558487435</v>
      </c>
      <c r="S104" s="56" t="s">
        <v>41</v>
      </c>
      <c r="T104" s="56">
        <v>0.99781553398058254</v>
      </c>
      <c r="U104" s="116">
        <v>3970</v>
      </c>
      <c r="V104" s="116">
        <v>0</v>
      </c>
      <c r="W104" s="116">
        <v>341</v>
      </c>
      <c r="X104" s="116">
        <v>4311</v>
      </c>
      <c r="Y104" s="116">
        <v>849</v>
      </c>
      <c r="Z104" s="116">
        <v>5160</v>
      </c>
      <c r="AA104" s="116">
        <v>1748</v>
      </c>
      <c r="AB104" s="116">
        <v>376</v>
      </c>
      <c r="AC104" s="10" t="s">
        <v>113</v>
      </c>
    </row>
    <row r="105" spans="2:29" x14ac:dyDescent="0.15">
      <c r="B105" s="105" t="s">
        <v>502</v>
      </c>
      <c r="C105" s="105" t="s">
        <v>869</v>
      </c>
      <c r="D105" s="32" t="s">
        <v>503</v>
      </c>
      <c r="E105" s="33">
        <v>0</v>
      </c>
      <c r="F105" s="33">
        <v>0</v>
      </c>
      <c r="G105" s="33">
        <v>2956</v>
      </c>
      <c r="H105" s="33">
        <v>2956</v>
      </c>
      <c r="I105" s="33">
        <v>0</v>
      </c>
      <c r="J105" s="33">
        <v>0</v>
      </c>
      <c r="K105" s="33">
        <v>2760</v>
      </c>
      <c r="L105" s="33">
        <v>2760</v>
      </c>
      <c r="M105" s="33">
        <v>0</v>
      </c>
      <c r="N105" s="33">
        <v>0</v>
      </c>
      <c r="O105" s="33">
        <v>196</v>
      </c>
      <c r="P105" s="33">
        <v>196</v>
      </c>
      <c r="Q105" s="56">
        <v>0.93369418132611637</v>
      </c>
      <c r="R105" s="56" t="s">
        <v>41</v>
      </c>
      <c r="S105" s="56" t="s">
        <v>41</v>
      </c>
      <c r="T105" s="56">
        <v>0.93369418132611637</v>
      </c>
      <c r="U105" s="116">
        <v>0</v>
      </c>
      <c r="V105" s="116">
        <v>0</v>
      </c>
      <c r="W105" s="116">
        <v>0</v>
      </c>
      <c r="X105" s="116">
        <v>0</v>
      </c>
      <c r="Y105" s="116">
        <v>0</v>
      </c>
      <c r="Z105" s="116">
        <v>0</v>
      </c>
      <c r="AA105" s="116">
        <v>0</v>
      </c>
      <c r="AB105" s="116">
        <v>0</v>
      </c>
      <c r="AC105" s="10" t="s">
        <v>83</v>
      </c>
    </row>
    <row r="106" spans="2:29" x14ac:dyDescent="0.15">
      <c r="B106" s="105" t="s">
        <v>448</v>
      </c>
      <c r="C106" s="105" t="s">
        <v>869</v>
      </c>
      <c r="D106" s="32" t="s">
        <v>449</v>
      </c>
      <c r="E106" s="33">
        <v>5603</v>
      </c>
      <c r="F106" s="33">
        <v>0</v>
      </c>
      <c r="G106" s="33">
        <v>4691</v>
      </c>
      <c r="H106" s="33">
        <v>10294</v>
      </c>
      <c r="I106" s="33">
        <v>3301</v>
      </c>
      <c r="J106" s="33">
        <v>0</v>
      </c>
      <c r="K106" s="33">
        <v>4649</v>
      </c>
      <c r="L106" s="33">
        <v>7950</v>
      </c>
      <c r="M106" s="33">
        <v>2302</v>
      </c>
      <c r="N106" s="33">
        <v>0</v>
      </c>
      <c r="O106" s="33">
        <v>42</v>
      </c>
      <c r="P106" s="33">
        <v>2344</v>
      </c>
      <c r="Q106" s="56">
        <v>0.77229454050903434</v>
      </c>
      <c r="R106" s="56">
        <v>0.58914867035516683</v>
      </c>
      <c r="S106" s="56" t="s">
        <v>41</v>
      </c>
      <c r="T106" s="56">
        <v>0.99104668514176086</v>
      </c>
      <c r="U106" s="116">
        <v>1815</v>
      </c>
      <c r="V106" s="116">
        <v>0</v>
      </c>
      <c r="W106" s="116">
        <v>0</v>
      </c>
      <c r="X106" s="116">
        <v>1815</v>
      </c>
      <c r="Y106" s="116">
        <v>43</v>
      </c>
      <c r="Z106" s="116">
        <v>1858</v>
      </c>
      <c r="AA106" s="116">
        <v>599</v>
      </c>
      <c r="AB106" s="116">
        <v>11</v>
      </c>
      <c r="AC106" s="10" t="s">
        <v>61</v>
      </c>
    </row>
    <row r="107" spans="2:29" x14ac:dyDescent="0.15">
      <c r="B107" s="105" t="s">
        <v>506</v>
      </c>
      <c r="C107" s="105" t="s">
        <v>869</v>
      </c>
      <c r="D107" s="32" t="s">
        <v>507</v>
      </c>
      <c r="E107" s="33">
        <v>0</v>
      </c>
      <c r="F107" s="33">
        <v>0</v>
      </c>
      <c r="G107" s="33">
        <v>1652</v>
      </c>
      <c r="H107" s="33">
        <v>1652</v>
      </c>
      <c r="I107" s="33">
        <v>0</v>
      </c>
      <c r="J107" s="33">
        <v>0</v>
      </c>
      <c r="K107" s="33">
        <v>1610</v>
      </c>
      <c r="L107" s="33">
        <v>1610</v>
      </c>
      <c r="M107" s="33">
        <v>0</v>
      </c>
      <c r="N107" s="33">
        <v>0</v>
      </c>
      <c r="O107" s="33">
        <v>42</v>
      </c>
      <c r="P107" s="33">
        <v>42</v>
      </c>
      <c r="Q107" s="56">
        <v>0.97457627118644063</v>
      </c>
      <c r="R107" s="56" t="s">
        <v>41</v>
      </c>
      <c r="S107" s="56" t="s">
        <v>41</v>
      </c>
      <c r="T107" s="56">
        <v>0.97457627118644063</v>
      </c>
      <c r="U107" s="116">
        <v>0</v>
      </c>
      <c r="V107" s="116">
        <v>0</v>
      </c>
      <c r="W107" s="116">
        <v>0</v>
      </c>
      <c r="X107" s="116">
        <v>0</v>
      </c>
      <c r="Y107" s="116">
        <v>0</v>
      </c>
      <c r="Z107" s="116">
        <v>0</v>
      </c>
      <c r="AA107" s="116">
        <v>0</v>
      </c>
      <c r="AB107" s="116">
        <v>0</v>
      </c>
      <c r="AC107" s="10" t="s">
        <v>83</v>
      </c>
    </row>
    <row r="108" spans="2:29" x14ac:dyDescent="0.15">
      <c r="B108" s="105" t="s">
        <v>534</v>
      </c>
      <c r="C108" s="105" t="s">
        <v>869</v>
      </c>
      <c r="D108" s="32" t="s">
        <v>732</v>
      </c>
      <c r="E108" s="33">
        <v>5377</v>
      </c>
      <c r="F108" s="33">
        <v>0</v>
      </c>
      <c r="G108" s="33">
        <v>1496</v>
      </c>
      <c r="H108" s="33">
        <v>6873</v>
      </c>
      <c r="I108" s="33">
        <v>3474</v>
      </c>
      <c r="J108" s="33">
        <v>0</v>
      </c>
      <c r="K108" s="33">
        <v>1484</v>
      </c>
      <c r="L108" s="33">
        <v>4958</v>
      </c>
      <c r="M108" s="33">
        <v>1903</v>
      </c>
      <c r="N108" s="33">
        <v>0</v>
      </c>
      <c r="O108" s="33">
        <v>12</v>
      </c>
      <c r="P108" s="33">
        <v>1915</v>
      </c>
      <c r="Q108" s="56">
        <v>0.72137349046995491</v>
      </c>
      <c r="R108" s="56">
        <v>0.64608517760833173</v>
      </c>
      <c r="S108" s="56" t="s">
        <v>41</v>
      </c>
      <c r="T108" s="56">
        <v>0.99197860962566842</v>
      </c>
      <c r="U108" s="116">
        <v>1163</v>
      </c>
      <c r="V108" s="116">
        <v>0</v>
      </c>
      <c r="W108" s="116">
        <v>0</v>
      </c>
      <c r="X108" s="116">
        <v>1163</v>
      </c>
      <c r="Y108" s="116">
        <v>243</v>
      </c>
      <c r="Z108" s="116">
        <v>1406</v>
      </c>
      <c r="AA108" s="116">
        <v>70</v>
      </c>
      <c r="AB108" s="116">
        <v>1</v>
      </c>
      <c r="AC108" s="10" t="s">
        <v>83</v>
      </c>
    </row>
    <row r="109" spans="2:29" x14ac:dyDescent="0.15">
      <c r="B109" s="105" t="s">
        <v>510</v>
      </c>
      <c r="C109" s="105" t="s">
        <v>869</v>
      </c>
      <c r="D109" s="32" t="s">
        <v>511</v>
      </c>
      <c r="E109" s="33">
        <v>10218</v>
      </c>
      <c r="F109" s="33">
        <v>0</v>
      </c>
      <c r="G109" s="33">
        <v>4005</v>
      </c>
      <c r="H109" s="33">
        <v>14223</v>
      </c>
      <c r="I109" s="33">
        <v>4333</v>
      </c>
      <c r="J109" s="33">
        <v>0</v>
      </c>
      <c r="K109" s="33">
        <v>3425</v>
      </c>
      <c r="L109" s="33">
        <v>7758</v>
      </c>
      <c r="M109" s="33">
        <v>5885</v>
      </c>
      <c r="N109" s="33">
        <v>0</v>
      </c>
      <c r="O109" s="33">
        <v>580</v>
      </c>
      <c r="P109" s="33">
        <v>6465</v>
      </c>
      <c r="Q109" s="56">
        <v>0.54545454545454541</v>
      </c>
      <c r="R109" s="56">
        <v>0.4240555881777256</v>
      </c>
      <c r="S109" s="56" t="s">
        <v>41</v>
      </c>
      <c r="T109" s="56">
        <v>0.85518102372034954</v>
      </c>
      <c r="U109" s="116">
        <v>3811</v>
      </c>
      <c r="V109" s="116">
        <v>0</v>
      </c>
      <c r="W109" s="116">
        <v>0</v>
      </c>
      <c r="X109" s="116">
        <v>3811</v>
      </c>
      <c r="Y109" s="116">
        <v>2108</v>
      </c>
      <c r="Z109" s="116">
        <v>5919</v>
      </c>
      <c r="AA109" s="116">
        <v>1503</v>
      </c>
      <c r="AB109" s="116">
        <v>612</v>
      </c>
      <c r="AC109" s="10" t="s">
        <v>83</v>
      </c>
    </row>
    <row r="110" spans="2:29" x14ac:dyDescent="0.15">
      <c r="B110" s="105" t="s">
        <v>512</v>
      </c>
      <c r="C110" s="105" t="s">
        <v>869</v>
      </c>
      <c r="D110" s="32" t="s">
        <v>825</v>
      </c>
      <c r="E110" s="33">
        <v>0</v>
      </c>
      <c r="F110" s="33">
        <v>0</v>
      </c>
      <c r="G110" s="33">
        <v>1086</v>
      </c>
      <c r="H110" s="33">
        <v>1086</v>
      </c>
      <c r="I110" s="33">
        <v>0</v>
      </c>
      <c r="J110" s="33">
        <v>0</v>
      </c>
      <c r="K110" s="33">
        <v>1076</v>
      </c>
      <c r="L110" s="33">
        <v>1076</v>
      </c>
      <c r="M110" s="33">
        <v>0</v>
      </c>
      <c r="N110" s="33">
        <v>0</v>
      </c>
      <c r="O110" s="33">
        <v>10</v>
      </c>
      <c r="P110" s="33">
        <v>10</v>
      </c>
      <c r="Q110" s="56">
        <v>0.99079189686924496</v>
      </c>
      <c r="R110" s="56" t="s">
        <v>41</v>
      </c>
      <c r="S110" s="56" t="s">
        <v>41</v>
      </c>
      <c r="T110" s="56">
        <v>0.99079189686924496</v>
      </c>
      <c r="U110" s="116">
        <v>0</v>
      </c>
      <c r="V110" s="116">
        <v>0</v>
      </c>
      <c r="W110" s="116">
        <v>0</v>
      </c>
      <c r="X110" s="116">
        <v>0</v>
      </c>
      <c r="Y110" s="116">
        <v>0</v>
      </c>
      <c r="Z110" s="116">
        <v>0</v>
      </c>
      <c r="AA110" s="116">
        <v>0</v>
      </c>
      <c r="AB110" s="116">
        <v>0</v>
      </c>
      <c r="AC110" s="10" t="s">
        <v>83</v>
      </c>
    </row>
    <row r="111" spans="2:29" x14ac:dyDescent="0.15">
      <c r="B111" s="105" t="s">
        <v>537</v>
      </c>
      <c r="C111" s="105" t="s">
        <v>869</v>
      </c>
      <c r="D111" s="32" t="s">
        <v>538</v>
      </c>
      <c r="E111" s="33">
        <v>19809</v>
      </c>
      <c r="F111" s="33">
        <v>729</v>
      </c>
      <c r="G111" s="33">
        <v>10454</v>
      </c>
      <c r="H111" s="33">
        <v>30992</v>
      </c>
      <c r="I111" s="33">
        <v>12235</v>
      </c>
      <c r="J111" s="33">
        <v>729</v>
      </c>
      <c r="K111" s="33">
        <v>10409</v>
      </c>
      <c r="L111" s="33">
        <v>23373</v>
      </c>
      <c r="M111" s="33">
        <v>7574</v>
      </c>
      <c r="N111" s="33">
        <v>0</v>
      </c>
      <c r="O111" s="33">
        <v>45</v>
      </c>
      <c r="P111" s="33">
        <v>7619</v>
      </c>
      <c r="Q111" s="56">
        <v>0.75416236448115648</v>
      </c>
      <c r="R111" s="56">
        <v>0.61764854359129684</v>
      </c>
      <c r="S111" s="56">
        <v>1</v>
      </c>
      <c r="T111" s="56">
        <v>0.99569542758752627</v>
      </c>
      <c r="U111" s="116">
        <v>3696</v>
      </c>
      <c r="V111" s="116">
        <v>0</v>
      </c>
      <c r="W111" s="116">
        <v>0</v>
      </c>
      <c r="X111" s="116">
        <v>3696</v>
      </c>
      <c r="Y111" s="116">
        <v>1164</v>
      </c>
      <c r="Z111" s="116">
        <v>4860</v>
      </c>
      <c r="AA111" s="116">
        <v>2146</v>
      </c>
      <c r="AB111" s="116">
        <v>685</v>
      </c>
      <c r="AC111" s="10" t="s">
        <v>125</v>
      </c>
    </row>
    <row r="112" spans="2:29" x14ac:dyDescent="0.15">
      <c r="B112" s="105" t="s">
        <v>539</v>
      </c>
      <c r="C112" s="105" t="s">
        <v>869</v>
      </c>
      <c r="D112" s="32" t="s">
        <v>828</v>
      </c>
      <c r="E112" s="33">
        <v>0</v>
      </c>
      <c r="F112" s="33">
        <v>0</v>
      </c>
      <c r="G112" s="33">
        <v>2311</v>
      </c>
      <c r="H112" s="33">
        <v>2311</v>
      </c>
      <c r="I112" s="33">
        <v>0</v>
      </c>
      <c r="J112" s="33">
        <v>0</v>
      </c>
      <c r="K112" s="33">
        <v>2302</v>
      </c>
      <c r="L112" s="33">
        <v>2302</v>
      </c>
      <c r="M112" s="33">
        <v>0</v>
      </c>
      <c r="N112" s="33">
        <v>0</v>
      </c>
      <c r="O112" s="33">
        <v>9</v>
      </c>
      <c r="P112" s="33">
        <v>9</v>
      </c>
      <c r="Q112" s="56">
        <v>0.99610558199913457</v>
      </c>
      <c r="R112" s="56" t="s">
        <v>41</v>
      </c>
      <c r="S112" s="56" t="s">
        <v>41</v>
      </c>
      <c r="T112" s="56">
        <v>0.99610558199913457</v>
      </c>
      <c r="U112" s="116">
        <v>0</v>
      </c>
      <c r="V112" s="116">
        <v>0</v>
      </c>
      <c r="W112" s="116">
        <v>0</v>
      </c>
      <c r="X112" s="116">
        <v>0</v>
      </c>
      <c r="Y112" s="116">
        <v>0</v>
      </c>
      <c r="Z112" s="116">
        <v>0</v>
      </c>
      <c r="AA112" s="116">
        <v>0</v>
      </c>
      <c r="AB112" s="116">
        <v>0</v>
      </c>
      <c r="AC112" s="10" t="s">
        <v>125</v>
      </c>
    </row>
    <row r="113" spans="2:29" x14ac:dyDescent="0.15">
      <c r="B113" s="105" t="s">
        <v>541</v>
      </c>
      <c r="C113" s="105" t="s">
        <v>869</v>
      </c>
      <c r="D113" s="32" t="s">
        <v>542</v>
      </c>
      <c r="E113" s="33">
        <v>17113</v>
      </c>
      <c r="F113" s="33">
        <v>139</v>
      </c>
      <c r="G113" s="33">
        <v>6658</v>
      </c>
      <c r="H113" s="33">
        <v>23910</v>
      </c>
      <c r="I113" s="33">
        <v>10073</v>
      </c>
      <c r="J113" s="33">
        <v>139</v>
      </c>
      <c r="K113" s="33">
        <v>6480</v>
      </c>
      <c r="L113" s="33">
        <v>16692</v>
      </c>
      <c r="M113" s="33">
        <v>7040</v>
      </c>
      <c r="N113" s="33">
        <v>0</v>
      </c>
      <c r="O113" s="33">
        <v>178</v>
      </c>
      <c r="P113" s="33">
        <v>7218</v>
      </c>
      <c r="Q113" s="56">
        <v>0.69811794228356339</v>
      </c>
      <c r="R113" s="56">
        <v>0.58861684099807166</v>
      </c>
      <c r="S113" s="56">
        <v>1</v>
      </c>
      <c r="T113" s="56">
        <v>0.97326524481826371</v>
      </c>
      <c r="U113" s="116">
        <v>3415</v>
      </c>
      <c r="V113" s="116">
        <v>0</v>
      </c>
      <c r="W113" s="116">
        <v>173</v>
      </c>
      <c r="X113" s="116">
        <v>3588</v>
      </c>
      <c r="Y113" s="116">
        <v>742</v>
      </c>
      <c r="Z113" s="116">
        <v>4330</v>
      </c>
      <c r="AA113" s="116">
        <v>2249</v>
      </c>
      <c r="AB113" s="116">
        <v>213</v>
      </c>
      <c r="AC113" s="10" t="s">
        <v>125</v>
      </c>
    </row>
    <row r="114" spans="2:29" x14ac:dyDescent="0.15">
      <c r="B114" s="105" t="s">
        <v>446</v>
      </c>
      <c r="C114" s="105" t="s">
        <v>869</v>
      </c>
      <c r="D114" s="32" t="s">
        <v>447</v>
      </c>
      <c r="E114" s="33">
        <v>8977</v>
      </c>
      <c r="F114" s="33">
        <v>0</v>
      </c>
      <c r="G114" s="33">
        <v>2973</v>
      </c>
      <c r="H114" s="33">
        <v>11950</v>
      </c>
      <c r="I114" s="33">
        <v>4595</v>
      </c>
      <c r="J114" s="33">
        <v>0</v>
      </c>
      <c r="K114" s="33">
        <v>2828</v>
      </c>
      <c r="L114" s="33">
        <v>7423</v>
      </c>
      <c r="M114" s="33">
        <v>4382</v>
      </c>
      <c r="N114" s="33">
        <v>0</v>
      </c>
      <c r="O114" s="33">
        <v>145</v>
      </c>
      <c r="P114" s="33">
        <v>4527</v>
      </c>
      <c r="Q114" s="56">
        <v>0.6211715481171548</v>
      </c>
      <c r="R114" s="56">
        <v>0.51186365155397129</v>
      </c>
      <c r="S114" s="56" t="s">
        <v>41</v>
      </c>
      <c r="T114" s="56">
        <v>0.95122771611167167</v>
      </c>
      <c r="U114" s="116">
        <v>2298</v>
      </c>
      <c r="V114" s="116">
        <v>0</v>
      </c>
      <c r="W114" s="116">
        <v>0</v>
      </c>
      <c r="X114" s="116">
        <v>2298</v>
      </c>
      <c r="Y114" s="116">
        <v>379</v>
      </c>
      <c r="Z114" s="116">
        <v>2677</v>
      </c>
      <c r="AA114" s="116">
        <v>802</v>
      </c>
      <c r="AB114" s="116">
        <v>229</v>
      </c>
      <c r="AC114" s="10" t="s">
        <v>61</v>
      </c>
    </row>
    <row r="115" spans="2:29" x14ac:dyDescent="0.15">
      <c r="B115" s="105" t="s">
        <v>450</v>
      </c>
      <c r="C115" s="105" t="s">
        <v>869</v>
      </c>
      <c r="D115" s="32" t="s">
        <v>733</v>
      </c>
      <c r="E115" s="33">
        <v>5103</v>
      </c>
      <c r="F115" s="33">
        <v>0</v>
      </c>
      <c r="G115" s="33">
        <v>11239</v>
      </c>
      <c r="H115" s="33">
        <v>16342</v>
      </c>
      <c r="I115" s="33">
        <v>2048</v>
      </c>
      <c r="J115" s="33">
        <v>0</v>
      </c>
      <c r="K115" s="33">
        <v>11191</v>
      </c>
      <c r="L115" s="33">
        <v>13239</v>
      </c>
      <c r="M115" s="33">
        <v>3055</v>
      </c>
      <c r="N115" s="33">
        <v>0</v>
      </c>
      <c r="O115" s="33">
        <v>48</v>
      </c>
      <c r="P115" s="33">
        <v>3103</v>
      </c>
      <c r="Q115" s="56">
        <v>0.81012116020070979</v>
      </c>
      <c r="R115" s="56">
        <v>0.40133254948069763</v>
      </c>
      <c r="S115" s="56" t="s">
        <v>41</v>
      </c>
      <c r="T115" s="56">
        <v>0.995729157398345</v>
      </c>
      <c r="U115" s="116">
        <v>1614</v>
      </c>
      <c r="V115" s="116">
        <v>0</v>
      </c>
      <c r="W115" s="116">
        <v>499</v>
      </c>
      <c r="X115" s="116">
        <v>2113</v>
      </c>
      <c r="Y115" s="116">
        <v>2325</v>
      </c>
      <c r="Z115" s="116">
        <v>4438</v>
      </c>
      <c r="AA115" s="116">
        <v>252</v>
      </c>
      <c r="AB115" s="116">
        <v>25</v>
      </c>
      <c r="AC115" s="10" t="s">
        <v>61</v>
      </c>
    </row>
    <row r="116" spans="2:29" x14ac:dyDescent="0.15">
      <c r="B116" s="105" t="s">
        <v>514</v>
      </c>
      <c r="C116" s="105" t="s">
        <v>869</v>
      </c>
      <c r="D116" s="32" t="s">
        <v>734</v>
      </c>
      <c r="E116" s="33">
        <v>10716</v>
      </c>
      <c r="F116" s="33">
        <v>0</v>
      </c>
      <c r="G116" s="33">
        <v>6433</v>
      </c>
      <c r="H116" s="33">
        <v>17149</v>
      </c>
      <c r="I116" s="33">
        <v>5443</v>
      </c>
      <c r="J116" s="33">
        <v>0</v>
      </c>
      <c r="K116" s="33">
        <v>6355</v>
      </c>
      <c r="L116" s="33">
        <v>11798</v>
      </c>
      <c r="M116" s="33">
        <v>5273</v>
      </c>
      <c r="N116" s="33">
        <v>0</v>
      </c>
      <c r="O116" s="33">
        <v>78</v>
      </c>
      <c r="P116" s="33">
        <v>5351</v>
      </c>
      <c r="Q116" s="56">
        <v>0.68797014403172196</v>
      </c>
      <c r="R116" s="56">
        <v>0.50793206420306081</v>
      </c>
      <c r="S116" s="56" t="s">
        <v>41</v>
      </c>
      <c r="T116" s="56">
        <v>0.9878750194310586</v>
      </c>
      <c r="U116" s="116">
        <v>5487</v>
      </c>
      <c r="V116" s="116">
        <v>0</v>
      </c>
      <c r="W116" s="116">
        <v>0</v>
      </c>
      <c r="X116" s="116">
        <v>5487</v>
      </c>
      <c r="Y116" s="116">
        <v>327</v>
      </c>
      <c r="Z116" s="116">
        <v>5814</v>
      </c>
      <c r="AA116" s="116">
        <v>1206</v>
      </c>
      <c r="AB116" s="116">
        <v>757</v>
      </c>
      <c r="AC116" s="10" t="s">
        <v>83</v>
      </c>
    </row>
    <row r="117" spans="2:29" x14ac:dyDescent="0.15">
      <c r="B117" s="105" t="s">
        <v>451</v>
      </c>
      <c r="C117" s="105" t="s">
        <v>869</v>
      </c>
      <c r="D117" s="32" t="s">
        <v>452</v>
      </c>
      <c r="E117" s="33">
        <v>10939</v>
      </c>
      <c r="F117" s="33">
        <v>0</v>
      </c>
      <c r="G117" s="33">
        <v>14435</v>
      </c>
      <c r="H117" s="33">
        <v>25374</v>
      </c>
      <c r="I117" s="33">
        <v>8595</v>
      </c>
      <c r="J117" s="33">
        <v>0</v>
      </c>
      <c r="K117" s="33">
        <v>14435</v>
      </c>
      <c r="L117" s="33">
        <v>23030</v>
      </c>
      <c r="M117" s="33">
        <v>2344</v>
      </c>
      <c r="N117" s="33">
        <v>0</v>
      </c>
      <c r="O117" s="33">
        <v>0</v>
      </c>
      <c r="P117" s="33">
        <v>2344</v>
      </c>
      <c r="Q117" s="56">
        <v>0.90762197525025612</v>
      </c>
      <c r="R117" s="56">
        <v>0.78572081543102656</v>
      </c>
      <c r="S117" s="56" t="s">
        <v>41</v>
      </c>
      <c r="T117" s="56">
        <v>1</v>
      </c>
      <c r="U117" s="116">
        <v>4445</v>
      </c>
      <c r="V117" s="116">
        <v>0</v>
      </c>
      <c r="W117" s="116">
        <v>9</v>
      </c>
      <c r="X117" s="116">
        <v>4454</v>
      </c>
      <c r="Y117" s="116">
        <v>526</v>
      </c>
      <c r="Z117" s="116">
        <v>4980</v>
      </c>
      <c r="AA117" s="116">
        <v>19</v>
      </c>
      <c r="AB117" s="116">
        <v>0</v>
      </c>
      <c r="AC117" s="10" t="s">
        <v>61</v>
      </c>
    </row>
    <row r="118" spans="2:29" x14ac:dyDescent="0.15">
      <c r="B118" s="105" t="s">
        <v>524</v>
      </c>
      <c r="C118" s="105" t="s">
        <v>869</v>
      </c>
      <c r="D118" s="32" t="s">
        <v>735</v>
      </c>
      <c r="E118" s="33">
        <v>4495</v>
      </c>
      <c r="F118" s="33">
        <v>0</v>
      </c>
      <c r="G118" s="33">
        <v>349</v>
      </c>
      <c r="H118" s="33">
        <v>4844</v>
      </c>
      <c r="I118" s="33">
        <v>4028</v>
      </c>
      <c r="J118" s="33">
        <v>0</v>
      </c>
      <c r="K118" s="33">
        <v>346</v>
      </c>
      <c r="L118" s="33">
        <v>4374</v>
      </c>
      <c r="M118" s="33">
        <v>467</v>
      </c>
      <c r="N118" s="33">
        <v>0</v>
      </c>
      <c r="O118" s="33">
        <v>3</v>
      </c>
      <c r="P118" s="33">
        <v>470</v>
      </c>
      <c r="Q118" s="56">
        <v>0.90297274979355902</v>
      </c>
      <c r="R118" s="56">
        <v>0.89610678531701893</v>
      </c>
      <c r="S118" s="56" t="s">
        <v>41</v>
      </c>
      <c r="T118" s="56">
        <v>0.99140401146131807</v>
      </c>
      <c r="U118" s="116">
        <v>999</v>
      </c>
      <c r="V118" s="116">
        <v>0</v>
      </c>
      <c r="W118" s="116">
        <v>0</v>
      </c>
      <c r="X118" s="116">
        <v>999</v>
      </c>
      <c r="Y118" s="116">
        <v>95</v>
      </c>
      <c r="Z118" s="116">
        <v>1094</v>
      </c>
      <c r="AA118" s="116">
        <v>18</v>
      </c>
      <c r="AB118" s="116">
        <v>0</v>
      </c>
      <c r="AC118" s="10" t="s">
        <v>113</v>
      </c>
    </row>
    <row r="119" spans="2:29" x14ac:dyDescent="0.15">
      <c r="B119" s="105" t="s">
        <v>525</v>
      </c>
      <c r="C119" s="105" t="s">
        <v>869</v>
      </c>
      <c r="D119" s="32" t="s">
        <v>526</v>
      </c>
      <c r="E119" s="33">
        <v>9046</v>
      </c>
      <c r="F119" s="33">
        <v>1394</v>
      </c>
      <c r="G119" s="33">
        <v>7022</v>
      </c>
      <c r="H119" s="33">
        <v>17462</v>
      </c>
      <c r="I119" s="33">
        <v>4321</v>
      </c>
      <c r="J119" s="33">
        <v>1328</v>
      </c>
      <c r="K119" s="33">
        <v>6674</v>
      </c>
      <c r="L119" s="33">
        <v>12323</v>
      </c>
      <c r="M119" s="33">
        <v>4725</v>
      </c>
      <c r="N119" s="33">
        <v>66</v>
      </c>
      <c r="O119" s="33">
        <v>348</v>
      </c>
      <c r="P119" s="33">
        <v>5139</v>
      </c>
      <c r="Q119" s="56">
        <v>0.70570381399610582</v>
      </c>
      <c r="R119" s="56">
        <v>0.47766968826000444</v>
      </c>
      <c r="S119" s="56">
        <v>0.95265423242467717</v>
      </c>
      <c r="T119" s="56">
        <v>0.95044146966676157</v>
      </c>
      <c r="U119" s="116">
        <v>2860</v>
      </c>
      <c r="V119" s="116">
        <v>0</v>
      </c>
      <c r="W119" s="116">
        <v>0</v>
      </c>
      <c r="X119" s="116">
        <v>2860</v>
      </c>
      <c r="Y119" s="116">
        <v>3425</v>
      </c>
      <c r="Z119" s="116">
        <v>6285</v>
      </c>
      <c r="AA119" s="116">
        <v>915</v>
      </c>
      <c r="AB119" s="116">
        <v>8</v>
      </c>
      <c r="AC119" s="10" t="s">
        <v>113</v>
      </c>
    </row>
    <row r="120" spans="2:29" x14ac:dyDescent="0.15">
      <c r="B120" s="105" t="s">
        <v>453</v>
      </c>
      <c r="C120" s="105" t="s">
        <v>869</v>
      </c>
      <c r="D120" s="32" t="s">
        <v>454</v>
      </c>
      <c r="E120" s="33">
        <v>7575</v>
      </c>
      <c r="F120" s="33">
        <v>0</v>
      </c>
      <c r="G120" s="33">
        <v>9425</v>
      </c>
      <c r="H120" s="33">
        <v>17000</v>
      </c>
      <c r="I120" s="33">
        <v>3623</v>
      </c>
      <c r="J120" s="33">
        <v>0</v>
      </c>
      <c r="K120" s="33">
        <v>9094</v>
      </c>
      <c r="L120" s="33">
        <v>12717</v>
      </c>
      <c r="M120" s="33">
        <v>3952</v>
      </c>
      <c r="N120" s="33">
        <v>0</v>
      </c>
      <c r="O120" s="33">
        <v>331</v>
      </c>
      <c r="P120" s="33">
        <v>4283</v>
      </c>
      <c r="Q120" s="56">
        <v>0.74805882352941178</v>
      </c>
      <c r="R120" s="56">
        <v>0.47828382838283828</v>
      </c>
      <c r="S120" s="56" t="s">
        <v>41</v>
      </c>
      <c r="T120" s="56">
        <v>0.96488063660477452</v>
      </c>
      <c r="U120" s="116">
        <v>2396</v>
      </c>
      <c r="V120" s="116">
        <v>0</v>
      </c>
      <c r="W120" s="116">
        <v>204</v>
      </c>
      <c r="X120" s="116">
        <v>2600</v>
      </c>
      <c r="Y120" s="116">
        <v>2405</v>
      </c>
      <c r="Z120" s="116">
        <v>5005</v>
      </c>
      <c r="AA120" s="116">
        <v>289</v>
      </c>
      <c r="AB120" s="116">
        <v>18</v>
      </c>
      <c r="AC120" s="10" t="s">
        <v>61</v>
      </c>
    </row>
    <row r="121" spans="2:29" x14ac:dyDescent="0.15">
      <c r="B121" s="105" t="s">
        <v>455</v>
      </c>
      <c r="C121" s="105" t="s">
        <v>869</v>
      </c>
      <c r="D121" s="32" t="s">
        <v>827</v>
      </c>
      <c r="E121" s="33">
        <v>11770</v>
      </c>
      <c r="F121" s="33">
        <v>1465</v>
      </c>
      <c r="G121" s="33">
        <v>6210</v>
      </c>
      <c r="H121" s="33">
        <v>19445</v>
      </c>
      <c r="I121" s="33">
        <v>7002</v>
      </c>
      <c r="J121" s="33">
        <v>1424</v>
      </c>
      <c r="K121" s="33">
        <v>5975</v>
      </c>
      <c r="L121" s="33">
        <v>14401</v>
      </c>
      <c r="M121" s="33">
        <v>4768</v>
      </c>
      <c r="N121" s="33">
        <v>41</v>
      </c>
      <c r="O121" s="33">
        <v>235</v>
      </c>
      <c r="P121" s="33">
        <v>5044</v>
      </c>
      <c r="Q121" s="56">
        <v>0.74060169709436874</v>
      </c>
      <c r="R121" s="56">
        <v>0.59490229396771455</v>
      </c>
      <c r="S121" s="56">
        <v>0.97201365187713307</v>
      </c>
      <c r="T121" s="56">
        <v>0.96215780998389699</v>
      </c>
      <c r="U121" s="116">
        <v>4946</v>
      </c>
      <c r="V121" s="116">
        <v>21</v>
      </c>
      <c r="W121" s="116">
        <v>0</v>
      </c>
      <c r="X121" s="116">
        <v>4967</v>
      </c>
      <c r="Y121" s="116">
        <v>1326</v>
      </c>
      <c r="Z121" s="116">
        <v>6293</v>
      </c>
      <c r="AA121" s="116">
        <v>425</v>
      </c>
      <c r="AB121" s="116">
        <v>2</v>
      </c>
      <c r="AC121" s="10" t="s">
        <v>61</v>
      </c>
    </row>
    <row r="122" spans="2:29" x14ac:dyDescent="0.15">
      <c r="B122" s="105" t="s">
        <v>547</v>
      </c>
      <c r="C122" s="105" t="s">
        <v>869</v>
      </c>
      <c r="D122" s="32" t="s">
        <v>862</v>
      </c>
      <c r="E122" s="33">
        <v>0</v>
      </c>
      <c r="F122" s="33">
        <v>0</v>
      </c>
      <c r="G122" s="33">
        <v>0</v>
      </c>
      <c r="H122" s="33">
        <v>0</v>
      </c>
      <c r="I122" s="33">
        <v>0</v>
      </c>
      <c r="J122" s="33">
        <v>0</v>
      </c>
      <c r="K122" s="33">
        <v>0</v>
      </c>
      <c r="L122" s="33">
        <v>0</v>
      </c>
      <c r="M122" s="33">
        <v>0</v>
      </c>
      <c r="N122" s="33">
        <v>0</v>
      </c>
      <c r="O122" s="33">
        <v>0</v>
      </c>
      <c r="P122" s="33">
        <v>0</v>
      </c>
      <c r="Q122" s="56" t="s">
        <v>41</v>
      </c>
      <c r="R122" s="56" t="s">
        <v>41</v>
      </c>
      <c r="S122" s="56" t="s">
        <v>41</v>
      </c>
      <c r="T122" s="56" t="s">
        <v>41</v>
      </c>
      <c r="U122" s="116">
        <v>0</v>
      </c>
      <c r="V122" s="116">
        <v>0</v>
      </c>
      <c r="W122" s="116">
        <v>0</v>
      </c>
      <c r="X122" s="116">
        <v>0</v>
      </c>
      <c r="Y122" s="116">
        <v>126</v>
      </c>
      <c r="Z122" s="116">
        <v>126</v>
      </c>
      <c r="AA122" s="116">
        <v>0</v>
      </c>
      <c r="AB122" s="116">
        <v>0</v>
      </c>
      <c r="AC122" s="10" t="s">
        <v>125</v>
      </c>
    </row>
    <row r="123" spans="2:29" x14ac:dyDescent="0.15">
      <c r="B123" s="105" t="s">
        <v>459</v>
      </c>
      <c r="C123" s="105" t="s">
        <v>869</v>
      </c>
      <c r="D123" s="32" t="s">
        <v>460</v>
      </c>
      <c r="E123" s="33">
        <v>12694</v>
      </c>
      <c r="F123" s="33">
        <v>1862</v>
      </c>
      <c r="G123" s="33">
        <v>8910</v>
      </c>
      <c r="H123" s="33">
        <v>23466</v>
      </c>
      <c r="I123" s="33">
        <v>7125</v>
      </c>
      <c r="J123" s="33">
        <v>1759</v>
      </c>
      <c r="K123" s="33">
        <v>8671</v>
      </c>
      <c r="L123" s="33">
        <v>17555</v>
      </c>
      <c r="M123" s="33">
        <v>5569</v>
      </c>
      <c r="N123" s="33">
        <v>103</v>
      </c>
      <c r="O123" s="33">
        <v>239</v>
      </c>
      <c r="P123" s="33">
        <v>5911</v>
      </c>
      <c r="Q123" s="56">
        <v>0.74810363930793489</v>
      </c>
      <c r="R123" s="56">
        <v>0.56128879785725538</v>
      </c>
      <c r="S123" s="56">
        <v>0.94468313641245971</v>
      </c>
      <c r="T123" s="56">
        <v>0.97317620650953984</v>
      </c>
      <c r="U123" s="116">
        <v>3903</v>
      </c>
      <c r="V123" s="116">
        <v>23</v>
      </c>
      <c r="W123" s="116">
        <v>0</v>
      </c>
      <c r="X123" s="116">
        <v>3926</v>
      </c>
      <c r="Y123" s="116">
        <v>3153</v>
      </c>
      <c r="Z123" s="116">
        <v>7079</v>
      </c>
      <c r="AA123" s="116">
        <v>378</v>
      </c>
      <c r="AB123" s="116">
        <v>17</v>
      </c>
      <c r="AC123" s="10" t="s">
        <v>61</v>
      </c>
    </row>
    <row r="124" spans="2:29" x14ac:dyDescent="0.15">
      <c r="B124" s="105" t="s">
        <v>527</v>
      </c>
      <c r="C124" s="105" t="s">
        <v>869</v>
      </c>
      <c r="D124" s="32" t="s">
        <v>528</v>
      </c>
      <c r="E124" s="33">
        <v>10045</v>
      </c>
      <c r="F124" s="33">
        <v>0</v>
      </c>
      <c r="G124" s="33">
        <v>0</v>
      </c>
      <c r="H124" s="33">
        <v>10045</v>
      </c>
      <c r="I124" s="33">
        <v>6949</v>
      </c>
      <c r="J124" s="33">
        <v>0</v>
      </c>
      <c r="K124" s="33">
        <v>0</v>
      </c>
      <c r="L124" s="33">
        <v>6949</v>
      </c>
      <c r="M124" s="33">
        <v>3096</v>
      </c>
      <c r="N124" s="33">
        <v>0</v>
      </c>
      <c r="O124" s="33">
        <v>0</v>
      </c>
      <c r="P124" s="33">
        <v>3096</v>
      </c>
      <c r="Q124" s="56">
        <v>0.69178695868591344</v>
      </c>
      <c r="R124" s="56">
        <v>0.69178695868591344</v>
      </c>
      <c r="S124" s="56" t="s">
        <v>41</v>
      </c>
      <c r="T124" s="56" t="s">
        <v>41</v>
      </c>
      <c r="U124" s="116">
        <v>1990</v>
      </c>
      <c r="V124" s="116">
        <v>0</v>
      </c>
      <c r="W124" s="116">
        <v>0</v>
      </c>
      <c r="X124" s="116">
        <v>1990</v>
      </c>
      <c r="Y124" s="116">
        <v>523</v>
      </c>
      <c r="Z124" s="116">
        <v>2513</v>
      </c>
      <c r="AA124" s="116">
        <v>708</v>
      </c>
      <c r="AB124" s="116">
        <v>17</v>
      </c>
      <c r="AC124" s="10" t="s">
        <v>113</v>
      </c>
    </row>
    <row r="125" spans="2:29" x14ac:dyDescent="0.15">
      <c r="B125" s="105" t="s">
        <v>461</v>
      </c>
      <c r="C125" s="105" t="s">
        <v>869</v>
      </c>
      <c r="D125" s="32" t="s">
        <v>462</v>
      </c>
      <c r="E125" s="33">
        <v>0</v>
      </c>
      <c r="F125" s="33">
        <v>0</v>
      </c>
      <c r="G125" s="33">
        <v>492</v>
      </c>
      <c r="H125" s="33">
        <v>492</v>
      </c>
      <c r="I125" s="33">
        <v>0</v>
      </c>
      <c r="J125" s="33">
        <v>0</v>
      </c>
      <c r="K125" s="33">
        <v>492</v>
      </c>
      <c r="L125" s="33">
        <v>492</v>
      </c>
      <c r="M125" s="33">
        <v>0</v>
      </c>
      <c r="N125" s="33">
        <v>0</v>
      </c>
      <c r="O125" s="33">
        <v>0</v>
      </c>
      <c r="P125" s="33">
        <v>0</v>
      </c>
      <c r="Q125" s="56">
        <v>1</v>
      </c>
      <c r="R125" s="56" t="s">
        <v>41</v>
      </c>
      <c r="S125" s="56" t="s">
        <v>41</v>
      </c>
      <c r="T125" s="56">
        <v>1</v>
      </c>
      <c r="U125" s="116">
        <v>0</v>
      </c>
      <c r="V125" s="116">
        <v>0</v>
      </c>
      <c r="W125" s="116">
        <v>0</v>
      </c>
      <c r="X125" s="116">
        <v>0</v>
      </c>
      <c r="Y125" s="116">
        <v>0</v>
      </c>
      <c r="Z125" s="116">
        <v>0</v>
      </c>
      <c r="AA125" s="116">
        <v>0</v>
      </c>
      <c r="AB125" s="116">
        <v>0</v>
      </c>
      <c r="AC125" s="10" t="s">
        <v>61</v>
      </c>
    </row>
    <row r="126" spans="2:29" x14ac:dyDescent="0.15">
      <c r="B126" s="105" t="s">
        <v>519</v>
      </c>
      <c r="C126" s="105" t="s">
        <v>869</v>
      </c>
      <c r="D126" s="32" t="s">
        <v>520</v>
      </c>
      <c r="E126" s="33">
        <v>12536</v>
      </c>
      <c r="F126" s="33">
        <v>34</v>
      </c>
      <c r="G126" s="33">
        <v>5759</v>
      </c>
      <c r="H126" s="33">
        <v>18329</v>
      </c>
      <c r="I126" s="33">
        <v>6049</v>
      </c>
      <c r="J126" s="33">
        <v>34</v>
      </c>
      <c r="K126" s="33">
        <v>5245</v>
      </c>
      <c r="L126" s="33">
        <v>11328</v>
      </c>
      <c r="M126" s="33">
        <v>6487</v>
      </c>
      <c r="N126" s="33">
        <v>0</v>
      </c>
      <c r="O126" s="33">
        <v>514</v>
      </c>
      <c r="P126" s="33">
        <v>7001</v>
      </c>
      <c r="Q126" s="56">
        <v>0.61803699056140537</v>
      </c>
      <c r="R126" s="56">
        <v>0.48253031269942565</v>
      </c>
      <c r="S126" s="56">
        <v>1</v>
      </c>
      <c r="T126" s="56">
        <v>0.91074839381837125</v>
      </c>
      <c r="U126" s="116">
        <v>3368</v>
      </c>
      <c r="V126" s="116">
        <v>0</v>
      </c>
      <c r="W126" s="116">
        <v>0</v>
      </c>
      <c r="X126" s="116">
        <v>3368</v>
      </c>
      <c r="Y126" s="116">
        <v>749</v>
      </c>
      <c r="Z126" s="116">
        <v>4117</v>
      </c>
      <c r="AA126" s="116">
        <v>1094</v>
      </c>
      <c r="AB126" s="116">
        <v>315</v>
      </c>
      <c r="AC126" s="10" t="s">
        <v>83</v>
      </c>
    </row>
    <row r="127" spans="2:29" x14ac:dyDescent="0.15">
      <c r="B127" s="105" t="s">
        <v>416</v>
      </c>
      <c r="C127" s="105" t="s">
        <v>873</v>
      </c>
      <c r="D127" s="32" t="s">
        <v>736</v>
      </c>
      <c r="E127" s="33">
        <v>6240</v>
      </c>
      <c r="F127" s="33">
        <v>0</v>
      </c>
      <c r="G127" s="33">
        <v>0</v>
      </c>
      <c r="H127" s="33">
        <v>6240</v>
      </c>
      <c r="I127" s="33">
        <v>5359</v>
      </c>
      <c r="J127" s="33">
        <v>0</v>
      </c>
      <c r="K127" s="33">
        <v>0</v>
      </c>
      <c r="L127" s="33">
        <v>5359</v>
      </c>
      <c r="M127" s="33">
        <v>881</v>
      </c>
      <c r="N127" s="33">
        <v>0</v>
      </c>
      <c r="O127" s="33">
        <v>0</v>
      </c>
      <c r="P127" s="33">
        <v>881</v>
      </c>
      <c r="Q127" s="56">
        <v>0.85881410256410251</v>
      </c>
      <c r="R127" s="56">
        <v>0.85881410256410251</v>
      </c>
      <c r="S127" s="56" t="s">
        <v>41</v>
      </c>
      <c r="T127" s="56" t="s">
        <v>41</v>
      </c>
      <c r="U127" s="116">
        <v>965</v>
      </c>
      <c r="V127" s="116">
        <v>0</v>
      </c>
      <c r="W127" s="116">
        <v>0</v>
      </c>
      <c r="X127" s="116">
        <v>965</v>
      </c>
      <c r="Y127" s="116">
        <v>226</v>
      </c>
      <c r="Z127" s="116">
        <v>1191</v>
      </c>
      <c r="AA127" s="116">
        <v>3</v>
      </c>
      <c r="AB127" s="116">
        <v>0</v>
      </c>
      <c r="AC127" s="10" t="s">
        <v>55</v>
      </c>
    </row>
    <row r="128" spans="2:29" x14ac:dyDescent="0.15">
      <c r="B128" s="105" t="s">
        <v>485</v>
      </c>
      <c r="C128" s="105" t="s">
        <v>873</v>
      </c>
      <c r="D128" s="32" t="s">
        <v>486</v>
      </c>
      <c r="E128" s="33">
        <v>8673</v>
      </c>
      <c r="F128" s="33">
        <v>0</v>
      </c>
      <c r="G128" s="33">
        <v>9720</v>
      </c>
      <c r="H128" s="33">
        <v>18393</v>
      </c>
      <c r="I128" s="33">
        <v>4368</v>
      </c>
      <c r="J128" s="33">
        <v>0</v>
      </c>
      <c r="K128" s="33">
        <v>9604</v>
      </c>
      <c r="L128" s="33">
        <v>13972</v>
      </c>
      <c r="M128" s="33">
        <v>4305</v>
      </c>
      <c r="N128" s="33">
        <v>0</v>
      </c>
      <c r="O128" s="33">
        <v>116</v>
      </c>
      <c r="P128" s="33">
        <v>4421</v>
      </c>
      <c r="Q128" s="56">
        <v>0.7596368183548089</v>
      </c>
      <c r="R128" s="56">
        <v>0.50363196125907994</v>
      </c>
      <c r="S128" s="56" t="s">
        <v>41</v>
      </c>
      <c r="T128" s="56">
        <v>0.98806584362139915</v>
      </c>
      <c r="U128" s="116">
        <v>1802</v>
      </c>
      <c r="V128" s="116">
        <v>0</v>
      </c>
      <c r="W128" s="116">
        <v>0</v>
      </c>
      <c r="X128" s="116">
        <v>1802</v>
      </c>
      <c r="Y128" s="116">
        <v>2433</v>
      </c>
      <c r="Z128" s="116">
        <v>4235</v>
      </c>
      <c r="AA128" s="116">
        <v>912</v>
      </c>
      <c r="AB128" s="116">
        <v>505</v>
      </c>
      <c r="AC128" s="10" t="s">
        <v>77</v>
      </c>
    </row>
    <row r="129" spans="2:29" x14ac:dyDescent="0.15">
      <c r="B129" s="105" t="s">
        <v>463</v>
      </c>
      <c r="C129" s="105" t="s">
        <v>873</v>
      </c>
      <c r="D129" s="32" t="s">
        <v>464</v>
      </c>
      <c r="E129" s="33">
        <v>8867</v>
      </c>
      <c r="F129" s="33">
        <v>0</v>
      </c>
      <c r="G129" s="33">
        <v>3726</v>
      </c>
      <c r="H129" s="33">
        <v>12593</v>
      </c>
      <c r="I129" s="33">
        <v>4550</v>
      </c>
      <c r="J129" s="33">
        <v>0</v>
      </c>
      <c r="K129" s="33">
        <v>3426</v>
      </c>
      <c r="L129" s="33">
        <v>7976</v>
      </c>
      <c r="M129" s="33">
        <v>4317</v>
      </c>
      <c r="N129" s="33">
        <v>0</v>
      </c>
      <c r="O129" s="33">
        <v>300</v>
      </c>
      <c r="P129" s="33">
        <v>4617</v>
      </c>
      <c r="Q129" s="56">
        <v>0.63336774398475348</v>
      </c>
      <c r="R129" s="56">
        <v>0.51313860381188681</v>
      </c>
      <c r="S129" s="56" t="s">
        <v>41</v>
      </c>
      <c r="T129" s="56">
        <v>0.91948470209339772</v>
      </c>
      <c r="U129" s="116">
        <v>2428</v>
      </c>
      <c r="V129" s="116">
        <v>0</v>
      </c>
      <c r="W129" s="116">
        <v>156</v>
      </c>
      <c r="X129" s="116">
        <v>2584</v>
      </c>
      <c r="Y129" s="116">
        <v>705</v>
      </c>
      <c r="Z129" s="116">
        <v>3289</v>
      </c>
      <c r="AA129" s="116">
        <v>1015</v>
      </c>
      <c r="AB129" s="116">
        <v>580</v>
      </c>
      <c r="AC129" s="10" t="s">
        <v>73</v>
      </c>
    </row>
    <row r="130" spans="2:29" x14ac:dyDescent="0.15">
      <c r="B130" s="105" t="s">
        <v>417</v>
      </c>
      <c r="C130" s="105" t="s">
        <v>873</v>
      </c>
      <c r="D130" s="32" t="s">
        <v>737</v>
      </c>
      <c r="E130" s="33">
        <v>5968</v>
      </c>
      <c r="F130" s="33">
        <v>0</v>
      </c>
      <c r="G130" s="33">
        <v>2708</v>
      </c>
      <c r="H130" s="33">
        <v>8676</v>
      </c>
      <c r="I130" s="33">
        <v>3004</v>
      </c>
      <c r="J130" s="33">
        <v>0</v>
      </c>
      <c r="K130" s="33">
        <v>2362</v>
      </c>
      <c r="L130" s="33">
        <v>5366</v>
      </c>
      <c r="M130" s="33">
        <v>2964</v>
      </c>
      <c r="N130" s="33">
        <v>0</v>
      </c>
      <c r="O130" s="33">
        <v>346</v>
      </c>
      <c r="P130" s="33">
        <v>3310</v>
      </c>
      <c r="Q130" s="56">
        <v>0.61848778238819735</v>
      </c>
      <c r="R130" s="56">
        <v>0.5033512064343163</v>
      </c>
      <c r="S130" s="56" t="s">
        <v>41</v>
      </c>
      <c r="T130" s="56">
        <v>0.87223042836041353</v>
      </c>
      <c r="U130" s="116">
        <v>1913</v>
      </c>
      <c r="V130" s="116">
        <v>0</v>
      </c>
      <c r="W130" s="116">
        <v>0</v>
      </c>
      <c r="X130" s="116">
        <v>1913</v>
      </c>
      <c r="Y130" s="116">
        <v>1249</v>
      </c>
      <c r="Z130" s="116">
        <v>3162</v>
      </c>
      <c r="AA130" s="116">
        <v>1057</v>
      </c>
      <c r="AB130" s="116">
        <v>768</v>
      </c>
      <c r="AC130" s="10" t="s">
        <v>55</v>
      </c>
    </row>
    <row r="131" spans="2:29" x14ac:dyDescent="0.15">
      <c r="B131" s="105" t="s">
        <v>418</v>
      </c>
      <c r="C131" s="105" t="s">
        <v>873</v>
      </c>
      <c r="D131" s="32" t="s">
        <v>419</v>
      </c>
      <c r="E131" s="33">
        <v>4676</v>
      </c>
      <c r="F131" s="33">
        <v>0</v>
      </c>
      <c r="G131" s="33">
        <v>0</v>
      </c>
      <c r="H131" s="33">
        <v>4676</v>
      </c>
      <c r="I131" s="33">
        <v>2263</v>
      </c>
      <c r="J131" s="33">
        <v>0</v>
      </c>
      <c r="K131" s="33">
        <v>0</v>
      </c>
      <c r="L131" s="33">
        <v>2263</v>
      </c>
      <c r="M131" s="33">
        <v>2413</v>
      </c>
      <c r="N131" s="33">
        <v>0</v>
      </c>
      <c r="O131" s="33">
        <v>0</v>
      </c>
      <c r="P131" s="33">
        <v>2413</v>
      </c>
      <c r="Q131" s="56">
        <v>0.4839606501283148</v>
      </c>
      <c r="R131" s="56">
        <v>0.4839606501283148</v>
      </c>
      <c r="S131" s="56" t="s">
        <v>41</v>
      </c>
      <c r="T131" s="56" t="s">
        <v>41</v>
      </c>
      <c r="U131" s="116">
        <v>854</v>
      </c>
      <c r="V131" s="116">
        <v>0</v>
      </c>
      <c r="W131" s="116">
        <v>0</v>
      </c>
      <c r="X131" s="116">
        <v>854</v>
      </c>
      <c r="Y131" s="116">
        <v>272</v>
      </c>
      <c r="Z131" s="116">
        <v>1126</v>
      </c>
      <c r="AA131" s="116">
        <v>664</v>
      </c>
      <c r="AB131" s="116">
        <v>490</v>
      </c>
      <c r="AC131" s="10" t="s">
        <v>55</v>
      </c>
    </row>
    <row r="132" spans="2:29" x14ac:dyDescent="0.15">
      <c r="B132" s="105" t="s">
        <v>487</v>
      </c>
      <c r="C132" s="105" t="s">
        <v>873</v>
      </c>
      <c r="D132" s="32" t="s">
        <v>488</v>
      </c>
      <c r="E132" s="33">
        <v>13927</v>
      </c>
      <c r="F132" s="33">
        <v>0</v>
      </c>
      <c r="G132" s="33">
        <v>11315</v>
      </c>
      <c r="H132" s="33">
        <v>25242</v>
      </c>
      <c r="I132" s="33">
        <v>8708</v>
      </c>
      <c r="J132" s="33">
        <v>0</v>
      </c>
      <c r="K132" s="33">
        <v>10380</v>
      </c>
      <c r="L132" s="33">
        <v>19088</v>
      </c>
      <c r="M132" s="33">
        <v>5219</v>
      </c>
      <c r="N132" s="33">
        <v>0</v>
      </c>
      <c r="O132" s="33">
        <v>935</v>
      </c>
      <c r="P132" s="33">
        <v>6154</v>
      </c>
      <c r="Q132" s="56">
        <v>0.75619998415339518</v>
      </c>
      <c r="R132" s="56">
        <v>0.62526028577583115</v>
      </c>
      <c r="S132" s="56" t="s">
        <v>41</v>
      </c>
      <c r="T132" s="56">
        <v>0.91736632788334072</v>
      </c>
      <c r="U132" s="116">
        <v>3971</v>
      </c>
      <c r="V132" s="116">
        <v>0</v>
      </c>
      <c r="W132" s="116">
        <v>103</v>
      </c>
      <c r="X132" s="116">
        <v>4074</v>
      </c>
      <c r="Y132" s="116">
        <v>2198</v>
      </c>
      <c r="Z132" s="116">
        <v>6272</v>
      </c>
      <c r="AA132" s="116">
        <v>1116</v>
      </c>
      <c r="AB132" s="116">
        <v>814</v>
      </c>
      <c r="AC132" s="10" t="s">
        <v>77</v>
      </c>
    </row>
    <row r="133" spans="2:29" x14ac:dyDescent="0.15">
      <c r="B133" s="105" t="s">
        <v>489</v>
      </c>
      <c r="C133" s="105" t="s">
        <v>873</v>
      </c>
      <c r="D133" s="32" t="s">
        <v>490</v>
      </c>
      <c r="E133" s="33">
        <v>12803</v>
      </c>
      <c r="F133" s="33">
        <v>0</v>
      </c>
      <c r="G133" s="33">
        <v>3316</v>
      </c>
      <c r="H133" s="33">
        <v>16119</v>
      </c>
      <c r="I133" s="33">
        <v>8633</v>
      </c>
      <c r="J133" s="33">
        <v>0</v>
      </c>
      <c r="K133" s="33">
        <v>3080</v>
      </c>
      <c r="L133" s="33">
        <v>11713</v>
      </c>
      <c r="M133" s="33">
        <v>4170</v>
      </c>
      <c r="N133" s="33">
        <v>0</v>
      </c>
      <c r="O133" s="33">
        <v>236</v>
      </c>
      <c r="P133" s="33">
        <v>4406</v>
      </c>
      <c r="Q133" s="56">
        <v>0.72665798126434644</v>
      </c>
      <c r="R133" s="56">
        <v>0.67429508708896357</v>
      </c>
      <c r="S133" s="56" t="s">
        <v>41</v>
      </c>
      <c r="T133" s="56">
        <v>0.92882991556091676</v>
      </c>
      <c r="U133" s="116">
        <v>3463</v>
      </c>
      <c r="V133" s="116">
        <v>0</v>
      </c>
      <c r="W133" s="116">
        <v>96</v>
      </c>
      <c r="X133" s="116">
        <v>3559</v>
      </c>
      <c r="Y133" s="116">
        <v>1283</v>
      </c>
      <c r="Z133" s="116">
        <v>4842</v>
      </c>
      <c r="AA133" s="116">
        <v>1288</v>
      </c>
      <c r="AB133" s="116">
        <v>425</v>
      </c>
      <c r="AC133" s="10" t="s">
        <v>77</v>
      </c>
    </row>
    <row r="134" spans="2:29" x14ac:dyDescent="0.15">
      <c r="B134" s="105" t="s">
        <v>422</v>
      </c>
      <c r="C134" s="105" t="s">
        <v>873</v>
      </c>
      <c r="D134" s="32" t="s">
        <v>822</v>
      </c>
      <c r="E134" s="33">
        <v>0</v>
      </c>
      <c r="F134" s="33">
        <v>0</v>
      </c>
      <c r="G134" s="33">
        <v>0</v>
      </c>
      <c r="H134" s="33">
        <v>0</v>
      </c>
      <c r="I134" s="33">
        <v>0</v>
      </c>
      <c r="J134" s="33">
        <v>0</v>
      </c>
      <c r="K134" s="33">
        <v>0</v>
      </c>
      <c r="L134" s="33">
        <v>0</v>
      </c>
      <c r="M134" s="33">
        <v>0</v>
      </c>
      <c r="N134" s="33">
        <v>0</v>
      </c>
      <c r="O134" s="33">
        <v>0</v>
      </c>
      <c r="P134" s="33">
        <v>0</v>
      </c>
      <c r="Q134" s="56" t="s">
        <v>41</v>
      </c>
      <c r="R134" s="56" t="s">
        <v>41</v>
      </c>
      <c r="S134" s="56" t="s">
        <v>41</v>
      </c>
      <c r="T134" s="56" t="s">
        <v>41</v>
      </c>
      <c r="U134" s="116">
        <v>0</v>
      </c>
      <c r="V134" s="116">
        <v>0</v>
      </c>
      <c r="W134" s="116">
        <v>0</v>
      </c>
      <c r="X134" s="116">
        <v>0</v>
      </c>
      <c r="Y134" s="116">
        <v>112</v>
      </c>
      <c r="Z134" s="116">
        <v>112</v>
      </c>
      <c r="AA134" s="116">
        <v>0</v>
      </c>
      <c r="AB134" s="116">
        <v>0</v>
      </c>
      <c r="AC134" s="10" t="s">
        <v>55</v>
      </c>
    </row>
    <row r="135" spans="2:29" x14ac:dyDescent="0.15">
      <c r="B135" s="105" t="s">
        <v>429</v>
      </c>
      <c r="C135" s="105" t="s">
        <v>873</v>
      </c>
      <c r="D135" s="32" t="s">
        <v>430</v>
      </c>
      <c r="E135" s="33">
        <v>16918</v>
      </c>
      <c r="F135" s="33">
        <v>1989</v>
      </c>
      <c r="G135" s="33">
        <v>8689</v>
      </c>
      <c r="H135" s="33">
        <v>27596</v>
      </c>
      <c r="I135" s="33">
        <v>8093</v>
      </c>
      <c r="J135" s="33">
        <v>1974</v>
      </c>
      <c r="K135" s="33">
        <v>8407</v>
      </c>
      <c r="L135" s="33">
        <v>18474</v>
      </c>
      <c r="M135" s="33">
        <v>8825</v>
      </c>
      <c r="N135" s="33">
        <v>15</v>
      </c>
      <c r="O135" s="33">
        <v>282</v>
      </c>
      <c r="P135" s="33">
        <v>9122</v>
      </c>
      <c r="Q135" s="56">
        <v>0.66944484707928686</v>
      </c>
      <c r="R135" s="56">
        <v>0.47836623714387044</v>
      </c>
      <c r="S135" s="56">
        <v>0.9924585218702866</v>
      </c>
      <c r="T135" s="56">
        <v>0.96754517205662327</v>
      </c>
      <c r="U135" s="116">
        <v>4766</v>
      </c>
      <c r="V135" s="116">
        <v>128</v>
      </c>
      <c r="W135" s="116">
        <v>0</v>
      </c>
      <c r="X135" s="116">
        <v>4894</v>
      </c>
      <c r="Y135" s="116">
        <v>2461</v>
      </c>
      <c r="Z135" s="116">
        <v>7355</v>
      </c>
      <c r="AA135" s="116">
        <v>1924</v>
      </c>
      <c r="AB135" s="116">
        <v>1125</v>
      </c>
      <c r="AC135" s="10" t="s">
        <v>55</v>
      </c>
    </row>
    <row r="136" spans="2:29" x14ac:dyDescent="0.15">
      <c r="B136" s="105" t="s">
        <v>423</v>
      </c>
      <c r="C136" s="105" t="s">
        <v>873</v>
      </c>
      <c r="D136" s="32" t="s">
        <v>738</v>
      </c>
      <c r="E136" s="33">
        <v>0</v>
      </c>
      <c r="F136" s="33">
        <v>1654</v>
      </c>
      <c r="G136" s="33">
        <v>0</v>
      </c>
      <c r="H136" s="33">
        <v>1654</v>
      </c>
      <c r="I136" s="33">
        <v>0</v>
      </c>
      <c r="J136" s="33">
        <v>1466</v>
      </c>
      <c r="K136" s="33">
        <v>0</v>
      </c>
      <c r="L136" s="33">
        <v>1466</v>
      </c>
      <c r="M136" s="33">
        <v>0</v>
      </c>
      <c r="N136" s="33">
        <v>188</v>
      </c>
      <c r="O136" s="33">
        <v>0</v>
      </c>
      <c r="P136" s="33">
        <v>188</v>
      </c>
      <c r="Q136" s="56">
        <v>0.8863361547762999</v>
      </c>
      <c r="R136" s="56" t="s">
        <v>41</v>
      </c>
      <c r="S136" s="56">
        <v>0.8863361547762999</v>
      </c>
      <c r="T136" s="56" t="s">
        <v>41</v>
      </c>
      <c r="U136" s="116">
        <v>0</v>
      </c>
      <c r="V136" s="116">
        <v>126</v>
      </c>
      <c r="W136" s="116">
        <v>0</v>
      </c>
      <c r="X136" s="116">
        <v>126</v>
      </c>
      <c r="Y136" s="116">
        <v>12</v>
      </c>
      <c r="Z136" s="116">
        <v>138</v>
      </c>
      <c r="AA136" s="116">
        <v>0</v>
      </c>
      <c r="AB136" s="116">
        <v>0</v>
      </c>
      <c r="AC136" s="10" t="s">
        <v>55</v>
      </c>
    </row>
    <row r="137" spans="2:29" x14ac:dyDescent="0.15">
      <c r="B137" s="105" t="s">
        <v>469</v>
      </c>
      <c r="C137" s="105" t="s">
        <v>873</v>
      </c>
      <c r="D137" s="32" t="s">
        <v>470</v>
      </c>
      <c r="E137" s="33">
        <v>28182</v>
      </c>
      <c r="F137" s="33">
        <v>3447</v>
      </c>
      <c r="G137" s="33">
        <v>11593</v>
      </c>
      <c r="H137" s="33">
        <v>43222</v>
      </c>
      <c r="I137" s="33">
        <v>16621</v>
      </c>
      <c r="J137" s="33">
        <v>3158</v>
      </c>
      <c r="K137" s="33">
        <v>11244</v>
      </c>
      <c r="L137" s="33">
        <v>31023</v>
      </c>
      <c r="M137" s="33">
        <v>11561</v>
      </c>
      <c r="N137" s="33">
        <v>289</v>
      </c>
      <c r="O137" s="33">
        <v>349</v>
      </c>
      <c r="P137" s="33">
        <v>12199</v>
      </c>
      <c r="Q137" s="56">
        <v>0.71775947434177034</v>
      </c>
      <c r="R137" s="56">
        <v>0.58977361436377829</v>
      </c>
      <c r="S137" s="56">
        <v>0.91615897882216424</v>
      </c>
      <c r="T137" s="56">
        <v>0.96989562667126716</v>
      </c>
      <c r="U137" s="116">
        <v>5644</v>
      </c>
      <c r="V137" s="116">
        <v>110</v>
      </c>
      <c r="W137" s="116">
        <v>98</v>
      </c>
      <c r="X137" s="116">
        <v>5852</v>
      </c>
      <c r="Y137" s="116">
        <v>374</v>
      </c>
      <c r="Z137" s="116">
        <v>6226</v>
      </c>
      <c r="AA137" s="116">
        <v>3449</v>
      </c>
      <c r="AB137" s="116">
        <v>81</v>
      </c>
      <c r="AC137" s="10" t="s">
        <v>73</v>
      </c>
    </row>
    <row r="138" spans="2:29" x14ac:dyDescent="0.15">
      <c r="B138" s="105" t="s">
        <v>433</v>
      </c>
      <c r="C138" s="105" t="s">
        <v>873</v>
      </c>
      <c r="D138" s="32" t="s">
        <v>434</v>
      </c>
      <c r="E138" s="33">
        <v>17858</v>
      </c>
      <c r="F138" s="33">
        <v>0</v>
      </c>
      <c r="G138" s="33">
        <v>7335</v>
      </c>
      <c r="H138" s="33">
        <v>25193</v>
      </c>
      <c r="I138" s="33">
        <v>11189</v>
      </c>
      <c r="J138" s="33">
        <v>0</v>
      </c>
      <c r="K138" s="33">
        <v>7277</v>
      </c>
      <c r="L138" s="33">
        <v>18466</v>
      </c>
      <c r="M138" s="33">
        <v>6669</v>
      </c>
      <c r="N138" s="33">
        <v>0</v>
      </c>
      <c r="O138" s="33">
        <v>58</v>
      </c>
      <c r="P138" s="33">
        <v>6727</v>
      </c>
      <c r="Q138" s="56">
        <v>0.73298138371769939</v>
      </c>
      <c r="R138" s="56">
        <v>0.62655392541158028</v>
      </c>
      <c r="S138" s="56" t="s">
        <v>41</v>
      </c>
      <c r="T138" s="56">
        <v>0.99209270620313561</v>
      </c>
      <c r="U138" s="116">
        <v>8293</v>
      </c>
      <c r="V138" s="116">
        <v>0</v>
      </c>
      <c r="W138" s="116">
        <v>0</v>
      </c>
      <c r="X138" s="116">
        <v>8293</v>
      </c>
      <c r="Y138" s="116">
        <v>935</v>
      </c>
      <c r="Z138" s="116">
        <v>9228</v>
      </c>
      <c r="AA138" s="116">
        <v>1116</v>
      </c>
      <c r="AB138" s="116">
        <v>439</v>
      </c>
      <c r="AC138" s="10" t="s">
        <v>55</v>
      </c>
    </row>
    <row r="139" spans="2:29" x14ac:dyDescent="0.15">
      <c r="B139" s="105" t="s">
        <v>424</v>
      </c>
      <c r="C139" s="105" t="s">
        <v>873</v>
      </c>
      <c r="D139" s="32" t="s">
        <v>425</v>
      </c>
      <c r="E139" s="33">
        <v>0</v>
      </c>
      <c r="F139" s="33">
        <v>0</v>
      </c>
      <c r="G139" s="33">
        <v>14415</v>
      </c>
      <c r="H139" s="33">
        <v>14415</v>
      </c>
      <c r="I139" s="33">
        <v>0</v>
      </c>
      <c r="J139" s="33">
        <v>0</v>
      </c>
      <c r="K139" s="33">
        <v>14122</v>
      </c>
      <c r="L139" s="33">
        <v>14122</v>
      </c>
      <c r="M139" s="33">
        <v>0</v>
      </c>
      <c r="N139" s="33">
        <v>0</v>
      </c>
      <c r="O139" s="33">
        <v>293</v>
      </c>
      <c r="P139" s="33">
        <v>293</v>
      </c>
      <c r="Q139" s="56">
        <v>0.97967395074575092</v>
      </c>
      <c r="R139" s="56" t="s">
        <v>41</v>
      </c>
      <c r="S139" s="56" t="s">
        <v>41</v>
      </c>
      <c r="T139" s="56">
        <v>0.97967395074575092</v>
      </c>
      <c r="U139" s="116">
        <v>0</v>
      </c>
      <c r="V139" s="116">
        <v>0</v>
      </c>
      <c r="W139" s="116">
        <v>0</v>
      </c>
      <c r="X139" s="116">
        <v>0</v>
      </c>
      <c r="Y139" s="116">
        <v>63</v>
      </c>
      <c r="Z139" s="116">
        <v>63</v>
      </c>
      <c r="AA139" s="116">
        <v>0</v>
      </c>
      <c r="AB139" s="116">
        <v>0</v>
      </c>
      <c r="AC139" s="10" t="s">
        <v>55</v>
      </c>
    </row>
    <row r="140" spans="2:29" x14ac:dyDescent="0.15">
      <c r="B140" s="105" t="s">
        <v>426</v>
      </c>
      <c r="C140" s="105" t="s">
        <v>873</v>
      </c>
      <c r="D140" s="32" t="s">
        <v>427</v>
      </c>
      <c r="E140" s="33">
        <v>7353</v>
      </c>
      <c r="F140" s="33">
        <v>0</v>
      </c>
      <c r="G140" s="33">
        <v>3219</v>
      </c>
      <c r="H140" s="33">
        <v>10572</v>
      </c>
      <c r="I140" s="33">
        <v>3657</v>
      </c>
      <c r="J140" s="33">
        <v>0</v>
      </c>
      <c r="K140" s="33">
        <v>3197</v>
      </c>
      <c r="L140" s="33">
        <v>6854</v>
      </c>
      <c r="M140" s="33">
        <v>3696</v>
      </c>
      <c r="N140" s="33">
        <v>0</v>
      </c>
      <c r="O140" s="33">
        <v>22</v>
      </c>
      <c r="P140" s="33">
        <v>3718</v>
      </c>
      <c r="Q140" s="56">
        <v>0.64831630722663636</v>
      </c>
      <c r="R140" s="56">
        <v>0.49734802121583027</v>
      </c>
      <c r="S140" s="56" t="s">
        <v>41</v>
      </c>
      <c r="T140" s="56">
        <v>0.99316557937247596</v>
      </c>
      <c r="U140" s="116">
        <v>2625</v>
      </c>
      <c r="V140" s="116">
        <v>0</v>
      </c>
      <c r="W140" s="116">
        <v>0</v>
      </c>
      <c r="X140" s="116">
        <v>2625</v>
      </c>
      <c r="Y140" s="116">
        <v>792</v>
      </c>
      <c r="Z140" s="116">
        <v>3417</v>
      </c>
      <c r="AA140" s="116">
        <v>1103</v>
      </c>
      <c r="AB140" s="116">
        <v>607</v>
      </c>
      <c r="AC140" s="10" t="s">
        <v>55</v>
      </c>
    </row>
    <row r="141" spans="2:29" x14ac:dyDescent="0.15">
      <c r="B141" s="105" t="s">
        <v>428</v>
      </c>
      <c r="C141" s="105" t="s">
        <v>873</v>
      </c>
      <c r="D141" s="32" t="s">
        <v>823</v>
      </c>
      <c r="E141" s="33">
        <v>0</v>
      </c>
      <c r="F141" s="33">
        <v>0</v>
      </c>
      <c r="G141" s="33">
        <v>1662</v>
      </c>
      <c r="H141" s="33">
        <v>1662</v>
      </c>
      <c r="I141" s="33">
        <v>0</v>
      </c>
      <c r="J141" s="33">
        <v>0</v>
      </c>
      <c r="K141" s="33">
        <v>1662</v>
      </c>
      <c r="L141" s="33">
        <v>1662</v>
      </c>
      <c r="M141" s="33">
        <v>0</v>
      </c>
      <c r="N141" s="33">
        <v>0</v>
      </c>
      <c r="O141" s="33">
        <v>0</v>
      </c>
      <c r="P141" s="33">
        <v>0</v>
      </c>
      <c r="Q141" s="56">
        <v>1</v>
      </c>
      <c r="R141" s="56" t="s">
        <v>41</v>
      </c>
      <c r="S141" s="56" t="s">
        <v>41</v>
      </c>
      <c r="T141" s="56">
        <v>1</v>
      </c>
      <c r="U141" s="116">
        <v>0</v>
      </c>
      <c r="V141" s="116">
        <v>0</v>
      </c>
      <c r="W141" s="116">
        <v>0</v>
      </c>
      <c r="X141" s="116">
        <v>0</v>
      </c>
      <c r="Y141" s="116">
        <v>0</v>
      </c>
      <c r="Z141" s="116">
        <v>0</v>
      </c>
      <c r="AA141" s="116">
        <v>0</v>
      </c>
      <c r="AB141" s="116">
        <v>0</v>
      </c>
      <c r="AC141" s="10" t="s">
        <v>55</v>
      </c>
    </row>
    <row r="142" spans="2:29" x14ac:dyDescent="0.15">
      <c r="B142" s="105" t="s">
        <v>437</v>
      </c>
      <c r="C142" s="105" t="s">
        <v>873</v>
      </c>
      <c r="D142" s="32" t="s">
        <v>866</v>
      </c>
      <c r="E142" s="33">
        <v>7206</v>
      </c>
      <c r="F142" s="33">
        <v>0</v>
      </c>
      <c r="G142" s="33">
        <v>6129</v>
      </c>
      <c r="H142" s="33">
        <v>13335</v>
      </c>
      <c r="I142" s="33">
        <v>3911</v>
      </c>
      <c r="J142" s="33">
        <v>0</v>
      </c>
      <c r="K142" s="33">
        <v>6032</v>
      </c>
      <c r="L142" s="33">
        <v>9943</v>
      </c>
      <c r="M142" s="33">
        <v>3295</v>
      </c>
      <c r="N142" s="33">
        <v>0</v>
      </c>
      <c r="O142" s="33">
        <v>97</v>
      </c>
      <c r="P142" s="33">
        <v>3392</v>
      </c>
      <c r="Q142" s="56">
        <v>0.74563179602549678</v>
      </c>
      <c r="R142" s="56">
        <v>0.54274215931168468</v>
      </c>
      <c r="S142" s="56" t="s">
        <v>41</v>
      </c>
      <c r="T142" s="56">
        <v>0.984173600913689</v>
      </c>
      <c r="U142" s="116">
        <v>1706</v>
      </c>
      <c r="V142" s="116">
        <v>0</v>
      </c>
      <c r="W142" s="116">
        <v>0</v>
      </c>
      <c r="X142" s="116">
        <v>1706</v>
      </c>
      <c r="Y142" s="116">
        <v>140</v>
      </c>
      <c r="Z142" s="116">
        <v>1846</v>
      </c>
      <c r="AA142" s="116">
        <v>1323</v>
      </c>
      <c r="AB142" s="116">
        <v>856</v>
      </c>
      <c r="AC142" s="10" t="s">
        <v>55</v>
      </c>
    </row>
    <row r="143" spans="2:29" x14ac:dyDescent="0.15">
      <c r="B143" s="105" t="s">
        <v>475</v>
      </c>
      <c r="C143" s="105" t="s">
        <v>873</v>
      </c>
      <c r="D143" s="32" t="s">
        <v>739</v>
      </c>
      <c r="E143" s="33">
        <v>27197</v>
      </c>
      <c r="F143" s="33">
        <v>0</v>
      </c>
      <c r="G143" s="33">
        <v>9021</v>
      </c>
      <c r="H143" s="33">
        <v>36218</v>
      </c>
      <c r="I143" s="33">
        <v>16734</v>
      </c>
      <c r="J143" s="33">
        <v>0</v>
      </c>
      <c r="K143" s="33">
        <v>8630</v>
      </c>
      <c r="L143" s="33">
        <v>25364</v>
      </c>
      <c r="M143" s="33">
        <v>10463</v>
      </c>
      <c r="N143" s="33">
        <v>0</v>
      </c>
      <c r="O143" s="33">
        <v>391</v>
      </c>
      <c r="P143" s="33">
        <v>10854</v>
      </c>
      <c r="Q143" s="56">
        <v>0.70031476061626818</v>
      </c>
      <c r="R143" s="56">
        <v>0.61528845093208806</v>
      </c>
      <c r="S143" s="56" t="s">
        <v>41</v>
      </c>
      <c r="T143" s="56">
        <v>0.95665668994568231</v>
      </c>
      <c r="U143" s="116">
        <v>7815</v>
      </c>
      <c r="V143" s="116">
        <v>0</v>
      </c>
      <c r="W143" s="116">
        <v>443</v>
      </c>
      <c r="X143" s="116">
        <v>8258</v>
      </c>
      <c r="Y143" s="116">
        <v>2708</v>
      </c>
      <c r="Z143" s="116">
        <v>10966</v>
      </c>
      <c r="AA143" s="116">
        <v>1974</v>
      </c>
      <c r="AB143" s="116">
        <v>1103</v>
      </c>
      <c r="AC143" s="10" t="s">
        <v>73</v>
      </c>
    </row>
    <row r="144" spans="2:29" x14ac:dyDescent="0.15">
      <c r="B144" s="105" t="s">
        <v>491</v>
      </c>
      <c r="C144" s="105" t="s">
        <v>873</v>
      </c>
      <c r="D144" s="32" t="s">
        <v>826</v>
      </c>
      <c r="E144" s="33">
        <v>0</v>
      </c>
      <c r="F144" s="33">
        <v>0</v>
      </c>
      <c r="G144" s="33">
        <v>1040</v>
      </c>
      <c r="H144" s="33">
        <v>1040</v>
      </c>
      <c r="I144" s="33">
        <v>0</v>
      </c>
      <c r="J144" s="33">
        <v>0</v>
      </c>
      <c r="K144" s="33">
        <v>1036</v>
      </c>
      <c r="L144" s="33">
        <v>1036</v>
      </c>
      <c r="M144" s="33">
        <v>0</v>
      </c>
      <c r="N144" s="33">
        <v>0</v>
      </c>
      <c r="O144" s="33">
        <v>4</v>
      </c>
      <c r="P144" s="33">
        <v>4</v>
      </c>
      <c r="Q144" s="56">
        <v>0.99615384615384617</v>
      </c>
      <c r="R144" s="56" t="s">
        <v>41</v>
      </c>
      <c r="S144" s="56" t="s">
        <v>41</v>
      </c>
      <c r="T144" s="56">
        <v>0.99615384615384617</v>
      </c>
      <c r="U144" s="116">
        <v>0</v>
      </c>
      <c r="V144" s="116">
        <v>0</v>
      </c>
      <c r="W144" s="116">
        <v>0</v>
      </c>
      <c r="X144" s="116">
        <v>0</v>
      </c>
      <c r="Y144" s="116">
        <v>0</v>
      </c>
      <c r="Z144" s="116">
        <v>0</v>
      </c>
      <c r="AA144" s="116">
        <v>0</v>
      </c>
      <c r="AB144" s="116">
        <v>0</v>
      </c>
      <c r="AC144" s="10" t="s">
        <v>77</v>
      </c>
    </row>
    <row r="145" spans="2:29" x14ac:dyDescent="0.15">
      <c r="B145" s="105" t="s">
        <v>493</v>
      </c>
      <c r="C145" s="105" t="s">
        <v>873</v>
      </c>
      <c r="D145" s="32" t="s">
        <v>494</v>
      </c>
      <c r="E145" s="33">
        <v>0</v>
      </c>
      <c r="F145" s="33">
        <v>0</v>
      </c>
      <c r="G145" s="33">
        <v>1633</v>
      </c>
      <c r="H145" s="33">
        <v>1633</v>
      </c>
      <c r="I145" s="33">
        <v>0</v>
      </c>
      <c r="J145" s="33">
        <v>0</v>
      </c>
      <c r="K145" s="33">
        <v>1620</v>
      </c>
      <c r="L145" s="33">
        <v>1620</v>
      </c>
      <c r="M145" s="33">
        <v>0</v>
      </c>
      <c r="N145" s="33">
        <v>0</v>
      </c>
      <c r="O145" s="33">
        <v>13</v>
      </c>
      <c r="P145" s="33">
        <v>13</v>
      </c>
      <c r="Q145" s="56">
        <v>0.99203919167176979</v>
      </c>
      <c r="R145" s="56" t="s">
        <v>41</v>
      </c>
      <c r="S145" s="56" t="s">
        <v>41</v>
      </c>
      <c r="T145" s="56">
        <v>0.99203919167176979</v>
      </c>
      <c r="U145" s="116">
        <v>0</v>
      </c>
      <c r="V145" s="116">
        <v>0</v>
      </c>
      <c r="W145" s="116">
        <v>0</v>
      </c>
      <c r="X145" s="116">
        <v>0</v>
      </c>
      <c r="Y145" s="116">
        <v>0</v>
      </c>
      <c r="Z145" s="116">
        <v>0</v>
      </c>
      <c r="AA145" s="116">
        <v>0</v>
      </c>
      <c r="AB145" s="116">
        <v>0</v>
      </c>
      <c r="AC145" s="10" t="s">
        <v>77</v>
      </c>
    </row>
    <row r="146" spans="2:29" x14ac:dyDescent="0.15">
      <c r="B146" s="105" t="s">
        <v>477</v>
      </c>
      <c r="C146" s="105" t="s">
        <v>873</v>
      </c>
      <c r="D146" s="32" t="s">
        <v>478</v>
      </c>
      <c r="E146" s="33">
        <v>8508</v>
      </c>
      <c r="F146" s="33">
        <v>0</v>
      </c>
      <c r="G146" s="33">
        <v>937</v>
      </c>
      <c r="H146" s="33">
        <v>9445</v>
      </c>
      <c r="I146" s="33">
        <v>5340</v>
      </c>
      <c r="J146" s="33">
        <v>0</v>
      </c>
      <c r="K146" s="33">
        <v>882</v>
      </c>
      <c r="L146" s="33">
        <v>6222</v>
      </c>
      <c r="M146" s="33">
        <v>3168</v>
      </c>
      <c r="N146" s="33">
        <v>0</v>
      </c>
      <c r="O146" s="33">
        <v>55</v>
      </c>
      <c r="P146" s="33">
        <v>3223</v>
      </c>
      <c r="Q146" s="56">
        <v>0.65876124933827418</v>
      </c>
      <c r="R146" s="56">
        <v>0.62764456981664318</v>
      </c>
      <c r="S146" s="56" t="s">
        <v>41</v>
      </c>
      <c r="T146" s="56">
        <v>0.94130202774813232</v>
      </c>
      <c r="U146" s="116">
        <v>2584</v>
      </c>
      <c r="V146" s="116">
        <v>0</v>
      </c>
      <c r="W146" s="116">
        <v>63</v>
      </c>
      <c r="X146" s="116">
        <v>2647</v>
      </c>
      <c r="Y146" s="116">
        <v>1006</v>
      </c>
      <c r="Z146" s="116">
        <v>3653</v>
      </c>
      <c r="AA146" s="116">
        <v>919</v>
      </c>
      <c r="AB146" s="116">
        <v>228</v>
      </c>
      <c r="AC146" s="10" t="s">
        <v>73</v>
      </c>
    </row>
    <row r="147" spans="2:29" x14ac:dyDescent="0.15">
      <c r="B147" s="105" t="s">
        <v>479</v>
      </c>
      <c r="C147" s="105" t="s">
        <v>873</v>
      </c>
      <c r="D147" s="32" t="s">
        <v>741</v>
      </c>
      <c r="E147" s="33">
        <v>9044</v>
      </c>
      <c r="F147" s="33">
        <v>0</v>
      </c>
      <c r="G147" s="33">
        <v>2255</v>
      </c>
      <c r="H147" s="33">
        <v>11299</v>
      </c>
      <c r="I147" s="33">
        <v>4297</v>
      </c>
      <c r="J147" s="33">
        <v>0</v>
      </c>
      <c r="K147" s="33">
        <v>2216</v>
      </c>
      <c r="L147" s="33">
        <v>6513</v>
      </c>
      <c r="M147" s="33">
        <v>4747</v>
      </c>
      <c r="N147" s="33">
        <v>0</v>
      </c>
      <c r="O147" s="33">
        <v>39</v>
      </c>
      <c r="P147" s="33">
        <v>4786</v>
      </c>
      <c r="Q147" s="56">
        <v>0.5764226922736525</v>
      </c>
      <c r="R147" s="56">
        <v>0.47512162759840776</v>
      </c>
      <c r="S147" s="56" t="s">
        <v>41</v>
      </c>
      <c r="T147" s="56">
        <v>0.98270509977827047</v>
      </c>
      <c r="U147" s="116">
        <v>1532</v>
      </c>
      <c r="V147" s="116">
        <v>0</v>
      </c>
      <c r="W147" s="116">
        <v>0</v>
      </c>
      <c r="X147" s="116">
        <v>1532</v>
      </c>
      <c r="Y147" s="116">
        <v>253</v>
      </c>
      <c r="Z147" s="116">
        <v>1785</v>
      </c>
      <c r="AA147" s="116">
        <v>1069</v>
      </c>
      <c r="AB147" s="116">
        <v>681</v>
      </c>
      <c r="AC147" s="10" t="s">
        <v>73</v>
      </c>
    </row>
    <row r="148" spans="2:29" x14ac:dyDescent="0.15">
      <c r="B148" s="105" t="s">
        <v>480</v>
      </c>
      <c r="C148" s="105" t="s">
        <v>873</v>
      </c>
      <c r="D148" s="32" t="s">
        <v>481</v>
      </c>
      <c r="E148" s="33">
        <v>0</v>
      </c>
      <c r="F148" s="33">
        <v>0</v>
      </c>
      <c r="G148" s="33">
        <v>0</v>
      </c>
      <c r="H148" s="33">
        <v>0</v>
      </c>
      <c r="I148" s="33">
        <v>0</v>
      </c>
      <c r="J148" s="33">
        <v>0</v>
      </c>
      <c r="K148" s="33">
        <v>0</v>
      </c>
      <c r="L148" s="33">
        <v>0</v>
      </c>
      <c r="M148" s="33">
        <v>0</v>
      </c>
      <c r="N148" s="33">
        <v>0</v>
      </c>
      <c r="O148" s="33">
        <v>0</v>
      </c>
      <c r="P148" s="33">
        <v>0</v>
      </c>
      <c r="Q148" s="56" t="s">
        <v>41</v>
      </c>
      <c r="R148" s="56" t="s">
        <v>41</v>
      </c>
      <c r="S148" s="56" t="s">
        <v>41</v>
      </c>
      <c r="T148" s="56" t="s">
        <v>41</v>
      </c>
      <c r="U148" s="116">
        <v>0</v>
      </c>
      <c r="V148" s="116">
        <v>0</v>
      </c>
      <c r="W148" s="116">
        <v>0</v>
      </c>
      <c r="X148" s="116">
        <v>0</v>
      </c>
      <c r="Y148" s="116">
        <v>891</v>
      </c>
      <c r="Z148" s="116">
        <v>891</v>
      </c>
      <c r="AA148" s="116">
        <v>0</v>
      </c>
      <c r="AB148" s="116">
        <v>0</v>
      </c>
      <c r="AC148" s="10" t="s">
        <v>73</v>
      </c>
    </row>
    <row r="149" spans="2:29" x14ac:dyDescent="0.15">
      <c r="B149" s="105" t="s">
        <v>435</v>
      </c>
      <c r="C149" s="105" t="s">
        <v>873</v>
      </c>
      <c r="D149" s="32" t="s">
        <v>436</v>
      </c>
      <c r="E149" s="33">
        <v>0</v>
      </c>
      <c r="F149" s="33">
        <v>0</v>
      </c>
      <c r="G149" s="33">
        <v>0</v>
      </c>
      <c r="H149" s="33">
        <v>0</v>
      </c>
      <c r="I149" s="33">
        <v>0</v>
      </c>
      <c r="J149" s="33">
        <v>0</v>
      </c>
      <c r="K149" s="33">
        <v>0</v>
      </c>
      <c r="L149" s="33">
        <v>0</v>
      </c>
      <c r="M149" s="33">
        <v>0</v>
      </c>
      <c r="N149" s="33">
        <v>0</v>
      </c>
      <c r="O149" s="33">
        <v>0</v>
      </c>
      <c r="P149" s="33">
        <v>0</v>
      </c>
      <c r="Q149" s="56" t="s">
        <v>41</v>
      </c>
      <c r="R149" s="56" t="s">
        <v>41</v>
      </c>
      <c r="S149" s="56" t="s">
        <v>41</v>
      </c>
      <c r="T149" s="56" t="s">
        <v>41</v>
      </c>
      <c r="U149" s="116">
        <v>0</v>
      </c>
      <c r="V149" s="116">
        <v>0</v>
      </c>
      <c r="W149" s="116">
        <v>0</v>
      </c>
      <c r="X149" s="116">
        <v>0</v>
      </c>
      <c r="Y149" s="116">
        <v>200</v>
      </c>
      <c r="Z149" s="116">
        <v>200</v>
      </c>
      <c r="AA149" s="116">
        <v>0</v>
      </c>
      <c r="AB149" s="116">
        <v>0</v>
      </c>
      <c r="AC149" s="10" t="s">
        <v>55</v>
      </c>
    </row>
    <row r="150" spans="2:29" x14ac:dyDescent="0.15">
      <c r="B150" s="105" t="s">
        <v>495</v>
      </c>
      <c r="C150" s="105" t="s">
        <v>873</v>
      </c>
      <c r="D150" s="32" t="s">
        <v>742</v>
      </c>
      <c r="E150" s="33">
        <v>8971</v>
      </c>
      <c r="F150" s="33">
        <v>0</v>
      </c>
      <c r="G150" s="33">
        <v>2971</v>
      </c>
      <c r="H150" s="33">
        <v>11942</v>
      </c>
      <c r="I150" s="33">
        <v>5372</v>
      </c>
      <c r="J150" s="33">
        <v>0</v>
      </c>
      <c r="K150" s="33">
        <v>2886</v>
      </c>
      <c r="L150" s="33">
        <v>8258</v>
      </c>
      <c r="M150" s="33">
        <v>3599</v>
      </c>
      <c r="N150" s="33">
        <v>0</v>
      </c>
      <c r="O150" s="33">
        <v>85</v>
      </c>
      <c r="P150" s="33">
        <v>3684</v>
      </c>
      <c r="Q150" s="56">
        <v>0.69150895997320383</v>
      </c>
      <c r="R150" s="56">
        <v>0.59881841489243115</v>
      </c>
      <c r="S150" s="56" t="s">
        <v>41</v>
      </c>
      <c r="T150" s="56">
        <v>0.97139010434197237</v>
      </c>
      <c r="U150" s="116">
        <v>3212</v>
      </c>
      <c r="V150" s="116">
        <v>0</v>
      </c>
      <c r="W150" s="116">
        <v>11</v>
      </c>
      <c r="X150" s="116">
        <v>3223</v>
      </c>
      <c r="Y150" s="116">
        <v>1022</v>
      </c>
      <c r="Z150" s="116">
        <v>4245</v>
      </c>
      <c r="AA150" s="116">
        <v>1202</v>
      </c>
      <c r="AB150" s="116">
        <v>532</v>
      </c>
      <c r="AC150" s="10" t="s">
        <v>77</v>
      </c>
    </row>
    <row r="151" spans="2:29" x14ac:dyDescent="0.15">
      <c r="B151" s="105" t="s">
        <v>438</v>
      </c>
      <c r="C151" s="105" t="s">
        <v>873</v>
      </c>
      <c r="D151" s="32" t="s">
        <v>824</v>
      </c>
      <c r="E151" s="33">
        <v>0</v>
      </c>
      <c r="F151" s="33">
        <v>0</v>
      </c>
      <c r="G151" s="33">
        <v>3605</v>
      </c>
      <c r="H151" s="33">
        <v>3605</v>
      </c>
      <c r="I151" s="33">
        <v>0</v>
      </c>
      <c r="J151" s="33">
        <v>0</v>
      </c>
      <c r="K151" s="33">
        <v>3240</v>
      </c>
      <c r="L151" s="33">
        <v>3240</v>
      </c>
      <c r="M151" s="33">
        <v>0</v>
      </c>
      <c r="N151" s="33">
        <v>0</v>
      </c>
      <c r="O151" s="33">
        <v>365</v>
      </c>
      <c r="P151" s="33">
        <v>365</v>
      </c>
      <c r="Q151" s="56">
        <v>0.89875173370319006</v>
      </c>
      <c r="R151" s="56" t="s">
        <v>41</v>
      </c>
      <c r="S151" s="56" t="s">
        <v>41</v>
      </c>
      <c r="T151" s="56">
        <v>0.89875173370319006</v>
      </c>
      <c r="U151" s="116">
        <v>0</v>
      </c>
      <c r="V151" s="116">
        <v>0</v>
      </c>
      <c r="W151" s="116">
        <v>0</v>
      </c>
      <c r="X151" s="116">
        <v>0</v>
      </c>
      <c r="Y151" s="116">
        <v>0</v>
      </c>
      <c r="Z151" s="116">
        <v>0</v>
      </c>
      <c r="AA151" s="116">
        <v>0</v>
      </c>
      <c r="AB151" s="116">
        <v>0</v>
      </c>
      <c r="AC151" s="10" t="s">
        <v>55</v>
      </c>
    </row>
    <row r="152" spans="2:29" x14ac:dyDescent="0.15">
      <c r="B152" s="105" t="s">
        <v>440</v>
      </c>
      <c r="C152" s="105" t="s">
        <v>873</v>
      </c>
      <c r="D152" s="32" t="s">
        <v>441</v>
      </c>
      <c r="E152" s="33">
        <v>7917</v>
      </c>
      <c r="F152" s="33">
        <v>0</v>
      </c>
      <c r="G152" s="33">
        <v>2517</v>
      </c>
      <c r="H152" s="33">
        <v>10434</v>
      </c>
      <c r="I152" s="33">
        <v>3428</v>
      </c>
      <c r="J152" s="33">
        <v>0</v>
      </c>
      <c r="K152" s="33">
        <v>2120</v>
      </c>
      <c r="L152" s="33">
        <v>5548</v>
      </c>
      <c r="M152" s="33">
        <v>4489</v>
      </c>
      <c r="N152" s="33">
        <v>0</v>
      </c>
      <c r="O152" s="33">
        <v>397</v>
      </c>
      <c r="P152" s="33">
        <v>4886</v>
      </c>
      <c r="Q152" s="56">
        <v>0.53172321257427635</v>
      </c>
      <c r="R152" s="56">
        <v>0.43299229506126058</v>
      </c>
      <c r="S152" s="56" t="s">
        <v>41</v>
      </c>
      <c r="T152" s="56">
        <v>0.84227254668255858</v>
      </c>
      <c r="U152" s="116">
        <v>2321</v>
      </c>
      <c r="V152" s="116">
        <v>0</v>
      </c>
      <c r="W152" s="116">
        <v>0</v>
      </c>
      <c r="X152" s="116">
        <v>2321</v>
      </c>
      <c r="Y152" s="116">
        <v>1702</v>
      </c>
      <c r="Z152" s="116">
        <v>4023</v>
      </c>
      <c r="AA152" s="116">
        <v>978</v>
      </c>
      <c r="AB152" s="116">
        <v>498</v>
      </c>
      <c r="AC152" s="10" t="s">
        <v>55</v>
      </c>
    </row>
    <row r="153" spans="2:29" x14ac:dyDescent="0.15">
      <c r="B153" s="105" t="s">
        <v>484</v>
      </c>
      <c r="C153" s="105" t="s">
        <v>873</v>
      </c>
      <c r="D153" s="32" t="s">
        <v>868</v>
      </c>
      <c r="E153" s="33">
        <v>7034</v>
      </c>
      <c r="F153" s="33">
        <v>0</v>
      </c>
      <c r="G153" s="33">
        <v>6080</v>
      </c>
      <c r="H153" s="33">
        <v>13114</v>
      </c>
      <c r="I153" s="33">
        <v>3056</v>
      </c>
      <c r="J153" s="33">
        <v>0</v>
      </c>
      <c r="K153" s="33">
        <v>5996</v>
      </c>
      <c r="L153" s="33">
        <v>9052</v>
      </c>
      <c r="M153" s="33">
        <v>3978</v>
      </c>
      <c r="N153" s="33">
        <v>0</v>
      </c>
      <c r="O153" s="33">
        <v>84</v>
      </c>
      <c r="P153" s="33">
        <v>4062</v>
      </c>
      <c r="Q153" s="56">
        <v>0.69025468964465453</v>
      </c>
      <c r="R153" s="56">
        <v>0.43446118851293714</v>
      </c>
      <c r="S153" s="56" t="s">
        <v>41</v>
      </c>
      <c r="T153" s="56">
        <v>0.98618421052631577</v>
      </c>
      <c r="U153" s="116">
        <v>2433</v>
      </c>
      <c r="V153" s="116">
        <v>0</v>
      </c>
      <c r="W153" s="116">
        <v>0</v>
      </c>
      <c r="X153" s="116">
        <v>2433</v>
      </c>
      <c r="Y153" s="116">
        <v>514</v>
      </c>
      <c r="Z153" s="116">
        <v>2947</v>
      </c>
      <c r="AA153" s="116">
        <v>694</v>
      </c>
      <c r="AB153" s="116">
        <v>238</v>
      </c>
      <c r="AC153" s="10" t="s">
        <v>73</v>
      </c>
    </row>
    <row r="154" spans="2:29" x14ac:dyDescent="0.15">
      <c r="B154" s="105" t="s">
        <v>652</v>
      </c>
      <c r="C154" s="105" t="s">
        <v>870</v>
      </c>
      <c r="D154" s="32" t="s">
        <v>744</v>
      </c>
      <c r="E154" s="33">
        <v>8078</v>
      </c>
      <c r="F154" s="33">
        <v>0</v>
      </c>
      <c r="G154" s="33">
        <v>2683</v>
      </c>
      <c r="H154" s="33">
        <v>10761</v>
      </c>
      <c r="I154" s="33">
        <v>4690</v>
      </c>
      <c r="J154" s="33">
        <v>0</v>
      </c>
      <c r="K154" s="33">
        <v>2526</v>
      </c>
      <c r="L154" s="33">
        <v>7216</v>
      </c>
      <c r="M154" s="33">
        <v>3388</v>
      </c>
      <c r="N154" s="33">
        <v>0</v>
      </c>
      <c r="O154" s="33">
        <v>157</v>
      </c>
      <c r="P154" s="33">
        <v>3545</v>
      </c>
      <c r="Q154" s="56">
        <v>0.67056964966081223</v>
      </c>
      <c r="R154" s="56">
        <v>0.58058925476603118</v>
      </c>
      <c r="S154" s="56" t="s">
        <v>41</v>
      </c>
      <c r="T154" s="56">
        <v>0.94148341408870673</v>
      </c>
      <c r="U154" s="116">
        <v>2378</v>
      </c>
      <c r="V154" s="116">
        <v>0</v>
      </c>
      <c r="W154" s="116">
        <v>0</v>
      </c>
      <c r="X154" s="116">
        <v>2378</v>
      </c>
      <c r="Y154" s="116">
        <v>470</v>
      </c>
      <c r="Z154" s="116">
        <v>2848</v>
      </c>
      <c r="AA154" s="116">
        <v>1029</v>
      </c>
      <c r="AB154" s="116">
        <v>489</v>
      </c>
      <c r="AC154" s="10" t="s">
        <v>836</v>
      </c>
    </row>
    <row r="155" spans="2:29" x14ac:dyDescent="0.15">
      <c r="B155" s="105" t="s">
        <v>781</v>
      </c>
      <c r="C155" s="105" t="s">
        <v>870</v>
      </c>
      <c r="D155" s="32" t="s">
        <v>656</v>
      </c>
      <c r="E155" s="33">
        <v>0</v>
      </c>
      <c r="F155" s="33">
        <v>0</v>
      </c>
      <c r="G155" s="33">
        <v>2584</v>
      </c>
      <c r="H155" s="33">
        <v>2584</v>
      </c>
      <c r="I155" s="33">
        <v>0</v>
      </c>
      <c r="J155" s="33">
        <v>0</v>
      </c>
      <c r="K155" s="33">
        <v>2311</v>
      </c>
      <c r="L155" s="33">
        <v>2311</v>
      </c>
      <c r="M155" s="33">
        <v>0</v>
      </c>
      <c r="N155" s="33">
        <v>0</v>
      </c>
      <c r="O155" s="33">
        <v>273</v>
      </c>
      <c r="P155" s="33">
        <v>273</v>
      </c>
      <c r="Q155" s="56">
        <v>0.89434984520123839</v>
      </c>
      <c r="R155" s="56" t="s">
        <v>41</v>
      </c>
      <c r="S155" s="56" t="s">
        <v>41</v>
      </c>
      <c r="T155" s="56">
        <v>0.89434984520123839</v>
      </c>
      <c r="U155" s="116">
        <v>0</v>
      </c>
      <c r="V155" s="116">
        <v>0</v>
      </c>
      <c r="W155" s="116">
        <v>0</v>
      </c>
      <c r="X155" s="116">
        <v>0</v>
      </c>
      <c r="Y155" s="116">
        <v>0</v>
      </c>
      <c r="Z155" s="116">
        <v>0</v>
      </c>
      <c r="AA155" s="116">
        <v>0</v>
      </c>
      <c r="AB155" s="116">
        <v>0</v>
      </c>
      <c r="AC155" s="10" t="s">
        <v>836</v>
      </c>
    </row>
    <row r="156" spans="2:29" x14ac:dyDescent="0.15">
      <c r="B156" s="105" t="s">
        <v>576</v>
      </c>
      <c r="C156" s="105" t="s">
        <v>870</v>
      </c>
      <c r="D156" s="32" t="s">
        <v>577</v>
      </c>
      <c r="E156" s="33">
        <v>0</v>
      </c>
      <c r="F156" s="33">
        <v>0</v>
      </c>
      <c r="G156" s="33">
        <v>1419</v>
      </c>
      <c r="H156" s="33">
        <v>1419</v>
      </c>
      <c r="I156" s="33">
        <v>0</v>
      </c>
      <c r="J156" s="33">
        <v>0</v>
      </c>
      <c r="K156" s="33">
        <v>1400</v>
      </c>
      <c r="L156" s="33">
        <v>1400</v>
      </c>
      <c r="M156" s="33">
        <v>0</v>
      </c>
      <c r="N156" s="33">
        <v>0</v>
      </c>
      <c r="O156" s="33">
        <v>19</v>
      </c>
      <c r="P156" s="33">
        <v>19</v>
      </c>
      <c r="Q156" s="56">
        <v>0.98661028893587033</v>
      </c>
      <c r="R156" s="56" t="s">
        <v>41</v>
      </c>
      <c r="S156" s="56" t="s">
        <v>41</v>
      </c>
      <c r="T156" s="56">
        <v>0.98661028893587033</v>
      </c>
      <c r="U156" s="116">
        <v>0</v>
      </c>
      <c r="V156" s="116">
        <v>0</v>
      </c>
      <c r="W156" s="116">
        <v>30</v>
      </c>
      <c r="X156" s="116">
        <v>30</v>
      </c>
      <c r="Y156" s="116">
        <v>0</v>
      </c>
      <c r="Z156" s="116">
        <v>30</v>
      </c>
      <c r="AA156" s="116">
        <v>0</v>
      </c>
      <c r="AB156" s="116">
        <v>0</v>
      </c>
      <c r="AC156" s="10" t="s">
        <v>830</v>
      </c>
    </row>
    <row r="157" spans="2:29" x14ac:dyDescent="0.15">
      <c r="B157" s="105" t="s">
        <v>668</v>
      </c>
      <c r="C157" s="105" t="s">
        <v>870</v>
      </c>
      <c r="D157" s="32" t="s">
        <v>837</v>
      </c>
      <c r="E157" s="33">
        <v>0</v>
      </c>
      <c r="F157" s="33">
        <v>0</v>
      </c>
      <c r="G157" s="33">
        <v>1969</v>
      </c>
      <c r="H157" s="33">
        <v>1969</v>
      </c>
      <c r="I157" s="33">
        <v>0</v>
      </c>
      <c r="J157" s="33">
        <v>0</v>
      </c>
      <c r="K157" s="33">
        <v>1969</v>
      </c>
      <c r="L157" s="33">
        <v>1969</v>
      </c>
      <c r="M157" s="33">
        <v>0</v>
      </c>
      <c r="N157" s="33">
        <v>0</v>
      </c>
      <c r="O157" s="33">
        <v>0</v>
      </c>
      <c r="P157" s="33">
        <v>0</v>
      </c>
      <c r="Q157" s="56">
        <v>1</v>
      </c>
      <c r="R157" s="56" t="s">
        <v>41</v>
      </c>
      <c r="S157" s="56" t="s">
        <v>41</v>
      </c>
      <c r="T157" s="56">
        <v>1</v>
      </c>
      <c r="U157" s="116">
        <v>0</v>
      </c>
      <c r="V157" s="116">
        <v>0</v>
      </c>
      <c r="W157" s="116">
        <v>0</v>
      </c>
      <c r="X157" s="116">
        <v>0</v>
      </c>
      <c r="Y157" s="116">
        <v>0</v>
      </c>
      <c r="Z157" s="116">
        <v>0</v>
      </c>
      <c r="AA157" s="116">
        <v>0</v>
      </c>
      <c r="AB157" s="116">
        <v>0</v>
      </c>
      <c r="AC157" s="10" t="s">
        <v>836</v>
      </c>
    </row>
    <row r="158" spans="2:29" x14ac:dyDescent="0.15">
      <c r="B158" s="105" t="s">
        <v>578</v>
      </c>
      <c r="C158" s="105" t="s">
        <v>870</v>
      </c>
      <c r="D158" s="32" t="s">
        <v>579</v>
      </c>
      <c r="E158" s="33">
        <v>9848</v>
      </c>
      <c r="F158" s="33">
        <v>1233</v>
      </c>
      <c r="G158" s="33">
        <v>3232</v>
      </c>
      <c r="H158" s="33">
        <v>14313</v>
      </c>
      <c r="I158" s="33">
        <v>6755</v>
      </c>
      <c r="J158" s="33">
        <v>1233</v>
      </c>
      <c r="K158" s="33">
        <v>3112</v>
      </c>
      <c r="L158" s="33">
        <v>11100</v>
      </c>
      <c r="M158" s="33">
        <v>3093</v>
      </c>
      <c r="N158" s="33">
        <v>0</v>
      </c>
      <c r="O158" s="33">
        <v>120</v>
      </c>
      <c r="P158" s="33">
        <v>3213</v>
      </c>
      <c r="Q158" s="56">
        <v>0.77551875916998536</v>
      </c>
      <c r="R158" s="56">
        <v>0.68592607636068237</v>
      </c>
      <c r="S158" s="56">
        <v>1</v>
      </c>
      <c r="T158" s="56">
        <v>0.96287128712871284</v>
      </c>
      <c r="U158" s="116">
        <v>4400</v>
      </c>
      <c r="V158" s="116">
        <v>898</v>
      </c>
      <c r="W158" s="116">
        <v>0</v>
      </c>
      <c r="X158" s="116">
        <v>5298</v>
      </c>
      <c r="Y158" s="116">
        <v>335</v>
      </c>
      <c r="Z158" s="116">
        <v>5633</v>
      </c>
      <c r="AA158" s="116">
        <v>356</v>
      </c>
      <c r="AB158" s="116">
        <v>164</v>
      </c>
      <c r="AC158" s="10" t="s">
        <v>830</v>
      </c>
    </row>
    <row r="159" spans="2:29" x14ac:dyDescent="0.15">
      <c r="B159" s="105" t="s">
        <v>639</v>
      </c>
      <c r="C159" s="105" t="s">
        <v>870</v>
      </c>
      <c r="D159" s="32" t="s">
        <v>745</v>
      </c>
      <c r="E159" s="33">
        <v>12375</v>
      </c>
      <c r="F159" s="33">
        <v>0</v>
      </c>
      <c r="G159" s="33">
        <v>4121</v>
      </c>
      <c r="H159" s="33">
        <v>16496</v>
      </c>
      <c r="I159" s="33">
        <v>9198</v>
      </c>
      <c r="J159" s="33">
        <v>0</v>
      </c>
      <c r="K159" s="33">
        <v>4023</v>
      </c>
      <c r="L159" s="33">
        <v>13221</v>
      </c>
      <c r="M159" s="33">
        <v>3177</v>
      </c>
      <c r="N159" s="33">
        <v>0</v>
      </c>
      <c r="O159" s="33">
        <v>98</v>
      </c>
      <c r="P159" s="33">
        <v>3275</v>
      </c>
      <c r="Q159" s="56">
        <v>0.80146702230843836</v>
      </c>
      <c r="R159" s="56">
        <v>0.74327272727272731</v>
      </c>
      <c r="S159" s="56" t="s">
        <v>41</v>
      </c>
      <c r="T159" s="56">
        <v>0.97621936423198252</v>
      </c>
      <c r="U159" s="116">
        <v>3815</v>
      </c>
      <c r="V159" s="116">
        <v>0</v>
      </c>
      <c r="W159" s="116">
        <v>0</v>
      </c>
      <c r="X159" s="116">
        <v>3815</v>
      </c>
      <c r="Y159" s="116">
        <v>314</v>
      </c>
      <c r="Z159" s="116">
        <v>4129</v>
      </c>
      <c r="AA159" s="116">
        <v>903</v>
      </c>
      <c r="AB159" s="116">
        <v>490</v>
      </c>
      <c r="AC159" s="10" t="s">
        <v>87</v>
      </c>
    </row>
    <row r="160" spans="2:29" x14ac:dyDescent="0.15">
      <c r="B160" s="105" t="s">
        <v>641</v>
      </c>
      <c r="C160" s="105" t="s">
        <v>870</v>
      </c>
      <c r="D160" s="32" t="s">
        <v>642</v>
      </c>
      <c r="E160" s="33">
        <v>13689</v>
      </c>
      <c r="F160" s="33">
        <v>0</v>
      </c>
      <c r="G160" s="33">
        <v>13271</v>
      </c>
      <c r="H160" s="33">
        <v>26960</v>
      </c>
      <c r="I160" s="33">
        <v>6974</v>
      </c>
      <c r="J160" s="33">
        <v>0</v>
      </c>
      <c r="K160" s="33">
        <v>12457</v>
      </c>
      <c r="L160" s="33">
        <v>19431</v>
      </c>
      <c r="M160" s="33">
        <v>6715</v>
      </c>
      <c r="N160" s="33">
        <v>0</v>
      </c>
      <c r="O160" s="33">
        <v>814</v>
      </c>
      <c r="P160" s="33">
        <v>7529</v>
      </c>
      <c r="Q160" s="56">
        <v>0.72073442136498511</v>
      </c>
      <c r="R160" s="56">
        <v>0.50946015048579152</v>
      </c>
      <c r="S160" s="56" t="s">
        <v>41</v>
      </c>
      <c r="T160" s="56">
        <v>0.93866325069700851</v>
      </c>
      <c r="U160" s="116">
        <v>3064</v>
      </c>
      <c r="V160" s="116">
        <v>0</v>
      </c>
      <c r="W160" s="116">
        <v>528</v>
      </c>
      <c r="X160" s="116">
        <v>3592</v>
      </c>
      <c r="Y160" s="116">
        <v>544</v>
      </c>
      <c r="Z160" s="116">
        <v>4136</v>
      </c>
      <c r="AA160" s="116">
        <v>1656</v>
      </c>
      <c r="AB160" s="116">
        <v>1079</v>
      </c>
      <c r="AC160" s="10" t="s">
        <v>87</v>
      </c>
    </row>
    <row r="161" spans="2:29" x14ac:dyDescent="0.15">
      <c r="B161" s="105" t="s">
        <v>669</v>
      </c>
      <c r="C161" s="105" t="s">
        <v>870</v>
      </c>
      <c r="D161" s="32" t="s">
        <v>670</v>
      </c>
      <c r="E161" s="33">
        <v>10828</v>
      </c>
      <c r="F161" s="33">
        <v>0</v>
      </c>
      <c r="G161" s="33">
        <v>2421</v>
      </c>
      <c r="H161" s="33">
        <v>13249</v>
      </c>
      <c r="I161" s="33">
        <v>6709</v>
      </c>
      <c r="J161" s="33">
        <v>0</v>
      </c>
      <c r="K161" s="33">
        <v>2373</v>
      </c>
      <c r="L161" s="33">
        <v>9082</v>
      </c>
      <c r="M161" s="33">
        <v>4119</v>
      </c>
      <c r="N161" s="33">
        <v>0</v>
      </c>
      <c r="O161" s="33">
        <v>48</v>
      </c>
      <c r="P161" s="33">
        <v>4167</v>
      </c>
      <c r="Q161" s="56">
        <v>0.68548569703373841</v>
      </c>
      <c r="R161" s="56">
        <v>0.61959734022903579</v>
      </c>
      <c r="S161" s="56" t="s">
        <v>41</v>
      </c>
      <c r="T161" s="56">
        <v>0.9801734820322181</v>
      </c>
      <c r="U161" s="116">
        <v>2463</v>
      </c>
      <c r="V161" s="116">
        <v>0</v>
      </c>
      <c r="W161" s="116">
        <v>0</v>
      </c>
      <c r="X161" s="116">
        <v>2463</v>
      </c>
      <c r="Y161" s="116">
        <v>580</v>
      </c>
      <c r="Z161" s="116">
        <v>3043</v>
      </c>
      <c r="AA161" s="116">
        <v>370</v>
      </c>
      <c r="AB161" s="116">
        <v>215</v>
      </c>
      <c r="AC161" s="10" t="s">
        <v>836</v>
      </c>
    </row>
    <row r="162" spans="2:29" x14ac:dyDescent="0.15">
      <c r="B162" s="105" t="s">
        <v>797</v>
      </c>
      <c r="C162" s="105" t="s">
        <v>870</v>
      </c>
      <c r="D162" s="32" t="s">
        <v>854</v>
      </c>
      <c r="E162" s="33">
        <v>0</v>
      </c>
      <c r="F162" s="33">
        <v>0</v>
      </c>
      <c r="G162" s="33">
        <v>2784</v>
      </c>
      <c r="H162" s="33">
        <v>2784</v>
      </c>
      <c r="I162" s="33">
        <v>0</v>
      </c>
      <c r="J162" s="33">
        <v>0</v>
      </c>
      <c r="K162" s="33">
        <v>2784</v>
      </c>
      <c r="L162" s="33">
        <v>2784</v>
      </c>
      <c r="M162" s="33">
        <v>0</v>
      </c>
      <c r="N162" s="33">
        <v>0</v>
      </c>
      <c r="O162" s="33">
        <v>0</v>
      </c>
      <c r="P162" s="33">
        <v>0</v>
      </c>
      <c r="Q162" s="56">
        <v>1</v>
      </c>
      <c r="R162" s="56" t="s">
        <v>41</v>
      </c>
      <c r="S162" s="56" t="s">
        <v>41</v>
      </c>
      <c r="T162" s="56">
        <v>1</v>
      </c>
      <c r="U162" s="116">
        <v>0</v>
      </c>
      <c r="V162" s="116">
        <v>0</v>
      </c>
      <c r="W162" s="116">
        <v>0</v>
      </c>
      <c r="X162" s="116">
        <v>0</v>
      </c>
      <c r="Y162" s="116">
        <v>0</v>
      </c>
      <c r="Z162" s="116">
        <v>0</v>
      </c>
      <c r="AA162" s="116">
        <v>0</v>
      </c>
      <c r="AB162" s="116">
        <v>0</v>
      </c>
      <c r="AC162" s="10" t="s">
        <v>87</v>
      </c>
    </row>
    <row r="163" spans="2:29" x14ac:dyDescent="0.15">
      <c r="B163" s="105" t="s">
        <v>673</v>
      </c>
      <c r="C163" s="105" t="s">
        <v>870</v>
      </c>
      <c r="D163" s="32" t="s">
        <v>838</v>
      </c>
      <c r="E163" s="33">
        <v>0</v>
      </c>
      <c r="F163" s="33">
        <v>0</v>
      </c>
      <c r="G163" s="33">
        <v>2453</v>
      </c>
      <c r="H163" s="33">
        <v>2453</v>
      </c>
      <c r="I163" s="33">
        <v>0</v>
      </c>
      <c r="J163" s="33">
        <v>0</v>
      </c>
      <c r="K163" s="33">
        <v>2383</v>
      </c>
      <c r="L163" s="33">
        <v>2383</v>
      </c>
      <c r="M163" s="33">
        <v>0</v>
      </c>
      <c r="N163" s="33">
        <v>0</v>
      </c>
      <c r="O163" s="33">
        <v>70</v>
      </c>
      <c r="P163" s="33">
        <v>70</v>
      </c>
      <c r="Q163" s="56">
        <v>0.97146351406441089</v>
      </c>
      <c r="R163" s="56" t="s">
        <v>41</v>
      </c>
      <c r="S163" s="56" t="s">
        <v>41</v>
      </c>
      <c r="T163" s="56">
        <v>0.97146351406441089</v>
      </c>
      <c r="U163" s="116">
        <v>0</v>
      </c>
      <c r="V163" s="116">
        <v>0</v>
      </c>
      <c r="W163" s="116">
        <v>0</v>
      </c>
      <c r="X163" s="116">
        <v>0</v>
      </c>
      <c r="Y163" s="116">
        <v>0</v>
      </c>
      <c r="Z163" s="116">
        <v>0</v>
      </c>
      <c r="AA163" s="116">
        <v>0</v>
      </c>
      <c r="AB163" s="116">
        <v>0</v>
      </c>
      <c r="AC163" s="10" t="s">
        <v>836</v>
      </c>
    </row>
    <row r="164" spans="2:29" x14ac:dyDescent="0.15">
      <c r="B164" s="105" t="s">
        <v>617</v>
      </c>
      <c r="C164" s="105" t="s">
        <v>870</v>
      </c>
      <c r="D164" s="32" t="s">
        <v>618</v>
      </c>
      <c r="E164" s="33">
        <v>23398</v>
      </c>
      <c r="F164" s="33">
        <v>944</v>
      </c>
      <c r="G164" s="33">
        <v>11567</v>
      </c>
      <c r="H164" s="33">
        <v>35909</v>
      </c>
      <c r="I164" s="33">
        <v>14648</v>
      </c>
      <c r="J164" s="33">
        <v>944</v>
      </c>
      <c r="K164" s="33">
        <v>11436</v>
      </c>
      <c r="L164" s="33">
        <v>27028</v>
      </c>
      <c r="M164" s="33">
        <v>8750</v>
      </c>
      <c r="N164" s="33">
        <v>0</v>
      </c>
      <c r="O164" s="33">
        <v>131</v>
      </c>
      <c r="P164" s="33">
        <v>8881</v>
      </c>
      <c r="Q164" s="56">
        <v>0.75268038653262415</v>
      </c>
      <c r="R164" s="56">
        <v>0.626036413368664</v>
      </c>
      <c r="S164" s="56">
        <v>1</v>
      </c>
      <c r="T164" s="56">
        <v>0.9886746779631711</v>
      </c>
      <c r="U164" s="116">
        <v>6720</v>
      </c>
      <c r="V164" s="116">
        <v>0</v>
      </c>
      <c r="W164" s="116">
        <v>0</v>
      </c>
      <c r="X164" s="116">
        <v>6720</v>
      </c>
      <c r="Y164" s="116">
        <v>141</v>
      </c>
      <c r="Z164" s="116">
        <v>6861</v>
      </c>
      <c r="AA164" s="116">
        <v>1711</v>
      </c>
      <c r="AB164" s="116">
        <v>599</v>
      </c>
      <c r="AC164" s="10" t="s">
        <v>830</v>
      </c>
    </row>
    <row r="165" spans="2:29" x14ac:dyDescent="0.15">
      <c r="B165" s="105" t="s">
        <v>634</v>
      </c>
      <c r="C165" s="105" t="s">
        <v>870</v>
      </c>
      <c r="D165" s="32" t="s">
        <v>859</v>
      </c>
      <c r="E165" s="33">
        <v>0</v>
      </c>
      <c r="F165" s="33">
        <v>0</v>
      </c>
      <c r="G165" s="33">
        <v>2855</v>
      </c>
      <c r="H165" s="33">
        <v>2855</v>
      </c>
      <c r="I165" s="33">
        <v>0</v>
      </c>
      <c r="J165" s="33">
        <v>0</v>
      </c>
      <c r="K165" s="33">
        <v>2805</v>
      </c>
      <c r="L165" s="33">
        <v>2805</v>
      </c>
      <c r="M165" s="33">
        <v>0</v>
      </c>
      <c r="N165" s="33">
        <v>0</v>
      </c>
      <c r="O165" s="33">
        <v>50</v>
      </c>
      <c r="P165" s="33">
        <v>50</v>
      </c>
      <c r="Q165" s="56">
        <v>0.98248686514886163</v>
      </c>
      <c r="R165" s="56" t="s">
        <v>41</v>
      </c>
      <c r="S165" s="56" t="s">
        <v>41</v>
      </c>
      <c r="T165" s="56">
        <v>0.98248686514886163</v>
      </c>
      <c r="U165" s="116">
        <v>0</v>
      </c>
      <c r="V165" s="116">
        <v>0</v>
      </c>
      <c r="W165" s="116">
        <v>0</v>
      </c>
      <c r="X165" s="116">
        <v>0</v>
      </c>
      <c r="Y165" s="116">
        <v>112</v>
      </c>
      <c r="Z165" s="116">
        <v>112</v>
      </c>
      <c r="AA165" s="116">
        <v>0</v>
      </c>
      <c r="AB165" s="116">
        <v>0</v>
      </c>
      <c r="AC165" s="10" t="s">
        <v>75</v>
      </c>
    </row>
    <row r="166" spans="2:29" x14ac:dyDescent="0.15">
      <c r="B166" s="105" t="s">
        <v>625</v>
      </c>
      <c r="C166" s="105" t="s">
        <v>870</v>
      </c>
      <c r="D166" s="32" t="s">
        <v>626</v>
      </c>
      <c r="E166" s="33">
        <v>10050</v>
      </c>
      <c r="F166" s="33">
        <v>82</v>
      </c>
      <c r="G166" s="33">
        <v>4787</v>
      </c>
      <c r="H166" s="33">
        <v>14919</v>
      </c>
      <c r="I166" s="33">
        <v>4847</v>
      </c>
      <c r="J166" s="33">
        <v>82</v>
      </c>
      <c r="K166" s="33">
        <v>4364</v>
      </c>
      <c r="L166" s="33">
        <v>9293</v>
      </c>
      <c r="M166" s="33">
        <v>5203</v>
      </c>
      <c r="N166" s="33">
        <v>0</v>
      </c>
      <c r="O166" s="33">
        <v>423</v>
      </c>
      <c r="P166" s="33">
        <v>5626</v>
      </c>
      <c r="Q166" s="56">
        <v>0.6228969770091829</v>
      </c>
      <c r="R166" s="56">
        <v>0.48228855721393032</v>
      </c>
      <c r="S166" s="56">
        <v>1</v>
      </c>
      <c r="T166" s="56">
        <v>0.91163567996657613</v>
      </c>
      <c r="U166" s="116">
        <v>3598</v>
      </c>
      <c r="V166" s="116">
        <v>4</v>
      </c>
      <c r="W166" s="116">
        <v>23</v>
      </c>
      <c r="X166" s="116">
        <v>3625</v>
      </c>
      <c r="Y166" s="116">
        <v>950</v>
      </c>
      <c r="Z166" s="116">
        <v>4575</v>
      </c>
      <c r="AA166" s="116">
        <v>158</v>
      </c>
      <c r="AB166" s="116">
        <v>11</v>
      </c>
      <c r="AC166" s="10" t="s">
        <v>75</v>
      </c>
    </row>
    <row r="167" spans="2:29" x14ac:dyDescent="0.15">
      <c r="B167" s="105" t="s">
        <v>803</v>
      </c>
      <c r="C167" s="105" t="s">
        <v>870</v>
      </c>
      <c r="D167" s="32" t="s">
        <v>804</v>
      </c>
      <c r="E167" s="33">
        <v>0</v>
      </c>
      <c r="F167" s="33">
        <v>0</v>
      </c>
      <c r="G167" s="33">
        <v>901</v>
      </c>
      <c r="H167" s="33">
        <v>901</v>
      </c>
      <c r="I167" s="33">
        <v>0</v>
      </c>
      <c r="J167" s="33">
        <v>0</v>
      </c>
      <c r="K167" s="33">
        <v>901</v>
      </c>
      <c r="L167" s="33">
        <v>901</v>
      </c>
      <c r="M167" s="33">
        <v>0</v>
      </c>
      <c r="N167" s="33">
        <v>0</v>
      </c>
      <c r="O167" s="33">
        <v>0</v>
      </c>
      <c r="P167" s="33">
        <v>0</v>
      </c>
      <c r="Q167" s="56">
        <v>1</v>
      </c>
      <c r="R167" s="56" t="s">
        <v>41</v>
      </c>
      <c r="S167" s="56" t="s">
        <v>41</v>
      </c>
      <c r="T167" s="56">
        <v>1</v>
      </c>
      <c r="U167" s="116">
        <v>0</v>
      </c>
      <c r="V167" s="116">
        <v>0</v>
      </c>
      <c r="W167" s="116">
        <v>0</v>
      </c>
      <c r="X167" s="116">
        <v>0</v>
      </c>
      <c r="Y167" s="116">
        <v>0</v>
      </c>
      <c r="Z167" s="116">
        <v>0</v>
      </c>
      <c r="AA167" s="116">
        <v>0</v>
      </c>
      <c r="AB167" s="116">
        <v>0</v>
      </c>
      <c r="AC167" s="10" t="s">
        <v>836</v>
      </c>
    </row>
    <row r="168" spans="2:29" x14ac:dyDescent="0.15">
      <c r="B168" s="105" t="s">
        <v>801</v>
      </c>
      <c r="C168" s="105" t="s">
        <v>870</v>
      </c>
      <c r="D168" s="32" t="s">
        <v>802</v>
      </c>
      <c r="E168" s="33">
        <v>0</v>
      </c>
      <c r="F168" s="33">
        <v>0</v>
      </c>
      <c r="G168" s="33">
        <v>2779</v>
      </c>
      <c r="H168" s="33">
        <v>2779</v>
      </c>
      <c r="I168" s="33">
        <v>0</v>
      </c>
      <c r="J168" s="33">
        <v>0</v>
      </c>
      <c r="K168" s="33">
        <v>2779</v>
      </c>
      <c r="L168" s="33">
        <v>2779</v>
      </c>
      <c r="M168" s="33">
        <v>0</v>
      </c>
      <c r="N168" s="33">
        <v>0</v>
      </c>
      <c r="O168" s="33">
        <v>0</v>
      </c>
      <c r="P168" s="33">
        <v>0</v>
      </c>
      <c r="Q168" s="56">
        <v>1</v>
      </c>
      <c r="R168" s="56" t="s">
        <v>41</v>
      </c>
      <c r="S168" s="56" t="s">
        <v>41</v>
      </c>
      <c r="T168" s="56">
        <v>1</v>
      </c>
      <c r="U168" s="116">
        <v>0</v>
      </c>
      <c r="V168" s="116">
        <v>0</v>
      </c>
      <c r="W168" s="116">
        <v>0</v>
      </c>
      <c r="X168" s="116">
        <v>0</v>
      </c>
      <c r="Y168" s="116">
        <v>0</v>
      </c>
      <c r="Z168" s="116">
        <v>0</v>
      </c>
      <c r="AA168" s="116">
        <v>0</v>
      </c>
      <c r="AB168" s="116">
        <v>0</v>
      </c>
      <c r="AC168" s="10" t="s">
        <v>87</v>
      </c>
    </row>
    <row r="169" spans="2:29" x14ac:dyDescent="0.15">
      <c r="B169" s="105" t="s">
        <v>627</v>
      </c>
      <c r="C169" s="105" t="s">
        <v>870</v>
      </c>
      <c r="D169" s="32" t="s">
        <v>746</v>
      </c>
      <c r="E169" s="33">
        <v>4424</v>
      </c>
      <c r="F169" s="33">
        <v>230</v>
      </c>
      <c r="G169" s="33">
        <v>1725</v>
      </c>
      <c r="H169" s="33">
        <v>6379</v>
      </c>
      <c r="I169" s="33">
        <v>3181</v>
      </c>
      <c r="J169" s="33">
        <v>230</v>
      </c>
      <c r="K169" s="33">
        <v>1697</v>
      </c>
      <c r="L169" s="33">
        <v>5108</v>
      </c>
      <c r="M169" s="33">
        <v>1243</v>
      </c>
      <c r="N169" s="33">
        <v>0</v>
      </c>
      <c r="O169" s="33">
        <v>28</v>
      </c>
      <c r="P169" s="33">
        <v>1271</v>
      </c>
      <c r="Q169" s="56">
        <v>0.8007524690390343</v>
      </c>
      <c r="R169" s="56">
        <v>0.7190325497287523</v>
      </c>
      <c r="S169" s="56">
        <v>1</v>
      </c>
      <c r="T169" s="56">
        <v>0.98376811594202895</v>
      </c>
      <c r="U169" s="116">
        <v>1453</v>
      </c>
      <c r="V169" s="116">
        <v>0</v>
      </c>
      <c r="W169" s="116">
        <v>0</v>
      </c>
      <c r="X169" s="116">
        <v>1453</v>
      </c>
      <c r="Y169" s="116">
        <v>82</v>
      </c>
      <c r="Z169" s="116">
        <v>1535</v>
      </c>
      <c r="AA169" s="116">
        <v>309</v>
      </c>
      <c r="AB169" s="116">
        <v>110</v>
      </c>
      <c r="AC169" s="10" t="s">
        <v>75</v>
      </c>
    </row>
    <row r="170" spans="2:29" x14ac:dyDescent="0.15">
      <c r="B170" s="105" t="s">
        <v>643</v>
      </c>
      <c r="C170" s="105" t="s">
        <v>870</v>
      </c>
      <c r="D170" s="32" t="s">
        <v>644</v>
      </c>
      <c r="E170" s="33">
        <v>0</v>
      </c>
      <c r="F170" s="33">
        <v>0</v>
      </c>
      <c r="G170" s="33">
        <v>6655</v>
      </c>
      <c r="H170" s="33">
        <v>6655</v>
      </c>
      <c r="I170" s="33">
        <v>0</v>
      </c>
      <c r="J170" s="33">
        <v>0</v>
      </c>
      <c r="K170" s="33">
        <v>6560</v>
      </c>
      <c r="L170" s="33">
        <v>6560</v>
      </c>
      <c r="M170" s="33">
        <v>0</v>
      </c>
      <c r="N170" s="33">
        <v>0</v>
      </c>
      <c r="O170" s="33">
        <v>95</v>
      </c>
      <c r="P170" s="33">
        <v>95</v>
      </c>
      <c r="Q170" s="56">
        <v>0.98572501878287</v>
      </c>
      <c r="R170" s="56" t="s">
        <v>41</v>
      </c>
      <c r="S170" s="56" t="s">
        <v>41</v>
      </c>
      <c r="T170" s="56">
        <v>0.98572501878287</v>
      </c>
      <c r="U170" s="116">
        <v>0</v>
      </c>
      <c r="V170" s="116">
        <v>0</v>
      </c>
      <c r="W170" s="116">
        <v>0</v>
      </c>
      <c r="X170" s="116">
        <v>0</v>
      </c>
      <c r="Y170" s="116">
        <v>0</v>
      </c>
      <c r="Z170" s="116">
        <v>0</v>
      </c>
      <c r="AA170" s="116">
        <v>0</v>
      </c>
      <c r="AB170" s="116">
        <v>0</v>
      </c>
      <c r="AC170" s="10" t="s">
        <v>87</v>
      </c>
    </row>
    <row r="171" spans="2:29" x14ac:dyDescent="0.15">
      <c r="B171" s="105" t="s">
        <v>645</v>
      </c>
      <c r="C171" s="105" t="s">
        <v>870</v>
      </c>
      <c r="D171" s="32" t="s">
        <v>747</v>
      </c>
      <c r="E171" s="33">
        <v>20578</v>
      </c>
      <c r="F171" s="33">
        <v>0</v>
      </c>
      <c r="G171" s="33">
        <v>1630</v>
      </c>
      <c r="H171" s="33">
        <v>22208</v>
      </c>
      <c r="I171" s="33">
        <v>14926</v>
      </c>
      <c r="J171" s="33">
        <v>0</v>
      </c>
      <c r="K171" s="33">
        <v>1629</v>
      </c>
      <c r="L171" s="33">
        <v>16555</v>
      </c>
      <c r="M171" s="33">
        <v>5652</v>
      </c>
      <c r="N171" s="33">
        <v>0</v>
      </c>
      <c r="O171" s="33">
        <v>1</v>
      </c>
      <c r="P171" s="33">
        <v>5653</v>
      </c>
      <c r="Q171" s="56">
        <v>0.74545208933717577</v>
      </c>
      <c r="R171" s="56">
        <v>0.72533773933326851</v>
      </c>
      <c r="S171" s="56" t="s">
        <v>41</v>
      </c>
      <c r="T171" s="56">
        <v>0.99938650306748467</v>
      </c>
      <c r="U171" s="116">
        <v>2242</v>
      </c>
      <c r="V171" s="116">
        <v>0</v>
      </c>
      <c r="W171" s="116">
        <v>0</v>
      </c>
      <c r="X171" s="116">
        <v>2242</v>
      </c>
      <c r="Y171" s="116">
        <v>663</v>
      </c>
      <c r="Z171" s="116">
        <v>2905</v>
      </c>
      <c r="AA171" s="116">
        <v>1493</v>
      </c>
      <c r="AB171" s="116">
        <v>686</v>
      </c>
      <c r="AC171" s="10" t="s">
        <v>87</v>
      </c>
    </row>
    <row r="172" spans="2:29" x14ac:dyDescent="0.15">
      <c r="B172" s="105" t="s">
        <v>646</v>
      </c>
      <c r="C172" s="105" t="s">
        <v>870</v>
      </c>
      <c r="D172" s="32" t="s">
        <v>647</v>
      </c>
      <c r="E172" s="33">
        <v>10304</v>
      </c>
      <c r="F172" s="33">
        <v>0</v>
      </c>
      <c r="G172" s="33">
        <v>5946</v>
      </c>
      <c r="H172" s="33">
        <v>16250</v>
      </c>
      <c r="I172" s="33">
        <v>7152</v>
      </c>
      <c r="J172" s="33">
        <v>0</v>
      </c>
      <c r="K172" s="33">
        <v>4930</v>
      </c>
      <c r="L172" s="33">
        <v>12082</v>
      </c>
      <c r="M172" s="33">
        <v>3152</v>
      </c>
      <c r="N172" s="33">
        <v>0</v>
      </c>
      <c r="O172" s="33">
        <v>1016</v>
      </c>
      <c r="P172" s="33">
        <v>4168</v>
      </c>
      <c r="Q172" s="56">
        <v>0.74350769230769231</v>
      </c>
      <c r="R172" s="56">
        <v>0.69409937888198758</v>
      </c>
      <c r="S172" s="56" t="s">
        <v>41</v>
      </c>
      <c r="T172" s="56">
        <v>0.8291288261015809</v>
      </c>
      <c r="U172" s="116">
        <v>1768</v>
      </c>
      <c r="V172" s="116">
        <v>0</v>
      </c>
      <c r="W172" s="116">
        <v>0</v>
      </c>
      <c r="X172" s="116">
        <v>1768</v>
      </c>
      <c r="Y172" s="116">
        <v>513</v>
      </c>
      <c r="Z172" s="116">
        <v>2281</v>
      </c>
      <c r="AA172" s="116">
        <v>824</v>
      </c>
      <c r="AB172" s="116">
        <v>413</v>
      </c>
      <c r="AC172" s="10" t="s">
        <v>87</v>
      </c>
    </row>
    <row r="173" spans="2:29" x14ac:dyDescent="0.15">
      <c r="B173" s="105" t="s">
        <v>580</v>
      </c>
      <c r="C173" s="105" t="s">
        <v>870</v>
      </c>
      <c r="D173" s="32" t="s">
        <v>581</v>
      </c>
      <c r="E173" s="33">
        <v>0</v>
      </c>
      <c r="F173" s="33">
        <v>0</v>
      </c>
      <c r="G173" s="33">
        <v>4909</v>
      </c>
      <c r="H173" s="33">
        <v>4909</v>
      </c>
      <c r="I173" s="33">
        <v>0</v>
      </c>
      <c r="J173" s="33">
        <v>0</v>
      </c>
      <c r="K173" s="33">
        <v>4664</v>
      </c>
      <c r="L173" s="33">
        <v>4664</v>
      </c>
      <c r="M173" s="33">
        <v>0</v>
      </c>
      <c r="N173" s="33">
        <v>0</v>
      </c>
      <c r="O173" s="33">
        <v>245</v>
      </c>
      <c r="P173" s="33">
        <v>245</v>
      </c>
      <c r="Q173" s="56">
        <v>0.95009166836422898</v>
      </c>
      <c r="R173" s="56" t="s">
        <v>41</v>
      </c>
      <c r="S173" s="56" t="s">
        <v>41</v>
      </c>
      <c r="T173" s="56">
        <v>0.95009166836422898</v>
      </c>
      <c r="U173" s="116">
        <v>0</v>
      </c>
      <c r="V173" s="116">
        <v>0</v>
      </c>
      <c r="W173" s="116">
        <v>0</v>
      </c>
      <c r="X173" s="116">
        <v>0</v>
      </c>
      <c r="Y173" s="116">
        <v>0</v>
      </c>
      <c r="Z173" s="116">
        <v>0</v>
      </c>
      <c r="AA173" s="116">
        <v>0</v>
      </c>
      <c r="AB173" s="116">
        <v>0</v>
      </c>
      <c r="AC173" s="10" t="s">
        <v>830</v>
      </c>
    </row>
    <row r="174" spans="2:29" x14ac:dyDescent="0.15">
      <c r="B174" s="105" t="s">
        <v>582</v>
      </c>
      <c r="C174" s="105" t="s">
        <v>870</v>
      </c>
      <c r="D174" s="32" t="s">
        <v>583</v>
      </c>
      <c r="E174" s="33">
        <v>13610</v>
      </c>
      <c r="F174" s="33">
        <v>1472</v>
      </c>
      <c r="G174" s="33">
        <v>2856</v>
      </c>
      <c r="H174" s="33">
        <v>17938</v>
      </c>
      <c r="I174" s="33">
        <v>9879</v>
      </c>
      <c r="J174" s="33">
        <v>1472</v>
      </c>
      <c r="K174" s="33">
        <v>2856</v>
      </c>
      <c r="L174" s="33">
        <v>14207</v>
      </c>
      <c r="M174" s="33">
        <v>3731</v>
      </c>
      <c r="N174" s="33">
        <v>0</v>
      </c>
      <c r="O174" s="33">
        <v>0</v>
      </c>
      <c r="P174" s="33">
        <v>3731</v>
      </c>
      <c r="Q174" s="56">
        <v>0.792005797747798</v>
      </c>
      <c r="R174" s="56">
        <v>0.72586333578251283</v>
      </c>
      <c r="S174" s="56">
        <v>1</v>
      </c>
      <c r="T174" s="56">
        <v>1</v>
      </c>
      <c r="U174" s="116">
        <v>5677</v>
      </c>
      <c r="V174" s="116">
        <v>117</v>
      </c>
      <c r="W174" s="116">
        <v>0</v>
      </c>
      <c r="X174" s="116">
        <v>5794</v>
      </c>
      <c r="Y174" s="116">
        <v>4224</v>
      </c>
      <c r="Z174" s="116">
        <v>10018</v>
      </c>
      <c r="AA174" s="116">
        <v>306</v>
      </c>
      <c r="AB174" s="116">
        <v>8</v>
      </c>
      <c r="AC174" s="10" t="s">
        <v>830</v>
      </c>
    </row>
    <row r="175" spans="2:29" x14ac:dyDescent="0.15">
      <c r="B175" s="105" t="s">
        <v>630</v>
      </c>
      <c r="C175" s="105" t="s">
        <v>870</v>
      </c>
      <c r="D175" s="32" t="s">
        <v>832</v>
      </c>
      <c r="E175" s="33">
        <v>0</v>
      </c>
      <c r="F175" s="33">
        <v>0</v>
      </c>
      <c r="G175" s="33">
        <v>3173</v>
      </c>
      <c r="H175" s="33">
        <v>3173</v>
      </c>
      <c r="I175" s="33">
        <v>0</v>
      </c>
      <c r="J175" s="33">
        <v>0</v>
      </c>
      <c r="K175" s="33">
        <v>2909</v>
      </c>
      <c r="L175" s="33">
        <v>2909</v>
      </c>
      <c r="M175" s="33">
        <v>0</v>
      </c>
      <c r="N175" s="33">
        <v>0</v>
      </c>
      <c r="O175" s="33">
        <v>264</v>
      </c>
      <c r="P175" s="33">
        <v>264</v>
      </c>
      <c r="Q175" s="56">
        <v>0.91679798298140558</v>
      </c>
      <c r="R175" s="56" t="s">
        <v>41</v>
      </c>
      <c r="S175" s="56" t="s">
        <v>41</v>
      </c>
      <c r="T175" s="56">
        <v>0.91679798298140558</v>
      </c>
      <c r="U175" s="116">
        <v>0</v>
      </c>
      <c r="V175" s="116">
        <v>0</v>
      </c>
      <c r="W175" s="116">
        <v>0</v>
      </c>
      <c r="X175" s="116">
        <v>0</v>
      </c>
      <c r="Y175" s="116">
        <v>0</v>
      </c>
      <c r="Z175" s="116">
        <v>0</v>
      </c>
      <c r="AA175" s="116">
        <v>0</v>
      </c>
      <c r="AB175" s="116">
        <v>0</v>
      </c>
      <c r="AC175" s="10" t="s">
        <v>75</v>
      </c>
    </row>
    <row r="176" spans="2:29" x14ac:dyDescent="0.15">
      <c r="B176" s="105" t="s">
        <v>628</v>
      </c>
      <c r="C176" s="105" t="s">
        <v>870</v>
      </c>
      <c r="D176" s="32" t="s">
        <v>867</v>
      </c>
      <c r="E176" s="33">
        <v>11768</v>
      </c>
      <c r="F176" s="33">
        <v>1176</v>
      </c>
      <c r="G176" s="33">
        <v>3659</v>
      </c>
      <c r="H176" s="33">
        <v>16603</v>
      </c>
      <c r="I176" s="33">
        <v>6983</v>
      </c>
      <c r="J176" s="33">
        <v>1152</v>
      </c>
      <c r="K176" s="33">
        <v>3646</v>
      </c>
      <c r="L176" s="33">
        <v>11781</v>
      </c>
      <c r="M176" s="33">
        <v>4785</v>
      </c>
      <c r="N176" s="33">
        <v>24</v>
      </c>
      <c r="O176" s="33">
        <v>13</v>
      </c>
      <c r="P176" s="33">
        <v>4822</v>
      </c>
      <c r="Q176" s="56">
        <v>0.70957055953743298</v>
      </c>
      <c r="R176" s="56">
        <v>0.59338885112168593</v>
      </c>
      <c r="S176" s="56">
        <v>0.97959183673469385</v>
      </c>
      <c r="T176" s="56">
        <v>0.99644711669855157</v>
      </c>
      <c r="U176" s="116">
        <v>3138</v>
      </c>
      <c r="V176" s="116">
        <v>0</v>
      </c>
      <c r="W176" s="116">
        <v>0</v>
      </c>
      <c r="X176" s="116">
        <v>3138</v>
      </c>
      <c r="Y176" s="116">
        <v>2676</v>
      </c>
      <c r="Z176" s="116">
        <v>5814</v>
      </c>
      <c r="AA176" s="116">
        <v>1873</v>
      </c>
      <c r="AB176" s="116">
        <v>1202</v>
      </c>
      <c r="AC176" s="10" t="s">
        <v>75</v>
      </c>
    </row>
    <row r="177" spans="2:29" x14ac:dyDescent="0.15">
      <c r="B177" s="105" t="s">
        <v>632</v>
      </c>
      <c r="C177" s="105" t="s">
        <v>870</v>
      </c>
      <c r="D177" s="32" t="s">
        <v>833</v>
      </c>
      <c r="E177" s="33">
        <v>0</v>
      </c>
      <c r="F177" s="33">
        <v>0</v>
      </c>
      <c r="G177" s="33">
        <v>5701</v>
      </c>
      <c r="H177" s="33">
        <v>5701</v>
      </c>
      <c r="I177" s="33">
        <v>0</v>
      </c>
      <c r="J177" s="33">
        <v>0</v>
      </c>
      <c r="K177" s="33">
        <v>5519</v>
      </c>
      <c r="L177" s="33">
        <v>5519</v>
      </c>
      <c r="M177" s="33">
        <v>0</v>
      </c>
      <c r="N177" s="33">
        <v>0</v>
      </c>
      <c r="O177" s="33">
        <v>182</v>
      </c>
      <c r="P177" s="33">
        <v>182</v>
      </c>
      <c r="Q177" s="56">
        <v>0.9680757761796176</v>
      </c>
      <c r="R177" s="56" t="s">
        <v>41</v>
      </c>
      <c r="S177" s="56" t="s">
        <v>41</v>
      </c>
      <c r="T177" s="56">
        <v>0.9680757761796176</v>
      </c>
      <c r="U177" s="116">
        <v>0</v>
      </c>
      <c r="V177" s="116">
        <v>0</v>
      </c>
      <c r="W177" s="116">
        <v>0</v>
      </c>
      <c r="X177" s="116">
        <v>0</v>
      </c>
      <c r="Y177" s="116">
        <v>0</v>
      </c>
      <c r="Z177" s="116">
        <v>0</v>
      </c>
      <c r="AA177" s="116">
        <v>0</v>
      </c>
      <c r="AB177" s="116">
        <v>0</v>
      </c>
      <c r="AC177" s="10" t="s">
        <v>75</v>
      </c>
    </row>
    <row r="178" spans="2:29" x14ac:dyDescent="0.15">
      <c r="B178" s="105" t="s">
        <v>636</v>
      </c>
      <c r="C178" s="105" t="s">
        <v>870</v>
      </c>
      <c r="D178" s="32" t="s">
        <v>834</v>
      </c>
      <c r="E178" s="33">
        <v>0</v>
      </c>
      <c r="F178" s="33">
        <v>0</v>
      </c>
      <c r="G178" s="33">
        <v>5378</v>
      </c>
      <c r="H178" s="33">
        <v>5378</v>
      </c>
      <c r="I178" s="33">
        <v>0</v>
      </c>
      <c r="J178" s="33">
        <v>0</v>
      </c>
      <c r="K178" s="33">
        <v>5242</v>
      </c>
      <c r="L178" s="33">
        <v>5242</v>
      </c>
      <c r="M178" s="33">
        <v>0</v>
      </c>
      <c r="N178" s="33">
        <v>0</v>
      </c>
      <c r="O178" s="33">
        <v>136</v>
      </c>
      <c r="P178" s="33">
        <v>136</v>
      </c>
      <c r="Q178" s="56">
        <v>0.97471178876905917</v>
      </c>
      <c r="R178" s="56" t="s">
        <v>41</v>
      </c>
      <c r="S178" s="56" t="s">
        <v>41</v>
      </c>
      <c r="T178" s="56">
        <v>0.97471178876905917</v>
      </c>
      <c r="U178" s="116">
        <v>0</v>
      </c>
      <c r="V178" s="116">
        <v>0</v>
      </c>
      <c r="W178" s="116">
        <v>0</v>
      </c>
      <c r="X178" s="116">
        <v>0</v>
      </c>
      <c r="Y178" s="116">
        <v>0</v>
      </c>
      <c r="Z178" s="116">
        <v>0</v>
      </c>
      <c r="AA178" s="116">
        <v>0</v>
      </c>
      <c r="AB178" s="116">
        <v>0</v>
      </c>
      <c r="AC178" s="10" t="s">
        <v>75</v>
      </c>
    </row>
    <row r="179" spans="2:29" x14ac:dyDescent="0.15">
      <c r="B179" s="105" t="s">
        <v>674</v>
      </c>
      <c r="C179" s="105" t="s">
        <v>870</v>
      </c>
      <c r="D179" s="32" t="s">
        <v>675</v>
      </c>
      <c r="E179" s="33">
        <v>0</v>
      </c>
      <c r="F179" s="33">
        <v>0</v>
      </c>
      <c r="G179" s="33">
        <v>1433</v>
      </c>
      <c r="H179" s="33">
        <v>1433</v>
      </c>
      <c r="I179" s="33">
        <v>0</v>
      </c>
      <c r="J179" s="33">
        <v>0</v>
      </c>
      <c r="K179" s="33">
        <v>1432</v>
      </c>
      <c r="L179" s="33">
        <v>1432</v>
      </c>
      <c r="M179" s="33">
        <v>0</v>
      </c>
      <c r="N179" s="33">
        <v>0</v>
      </c>
      <c r="O179" s="33">
        <v>1</v>
      </c>
      <c r="P179" s="33">
        <v>1</v>
      </c>
      <c r="Q179" s="56">
        <v>0.99930216329378929</v>
      </c>
      <c r="R179" s="56" t="s">
        <v>41</v>
      </c>
      <c r="S179" s="56" t="s">
        <v>41</v>
      </c>
      <c r="T179" s="56">
        <v>0.99930216329378929</v>
      </c>
      <c r="U179" s="116">
        <v>0</v>
      </c>
      <c r="V179" s="116">
        <v>0</v>
      </c>
      <c r="W179" s="116">
        <v>3</v>
      </c>
      <c r="X179" s="116">
        <v>3</v>
      </c>
      <c r="Y179" s="116">
        <v>542</v>
      </c>
      <c r="Z179" s="116">
        <v>545</v>
      </c>
      <c r="AA179" s="116">
        <v>0</v>
      </c>
      <c r="AB179" s="116">
        <v>0</v>
      </c>
      <c r="AC179" s="10" t="s">
        <v>836</v>
      </c>
    </row>
    <row r="180" spans="2:29" x14ac:dyDescent="0.15">
      <c r="B180" s="105" t="s">
        <v>584</v>
      </c>
      <c r="C180" s="105" t="s">
        <v>870</v>
      </c>
      <c r="D180" s="32" t="s">
        <v>585</v>
      </c>
      <c r="E180" s="33">
        <v>11425</v>
      </c>
      <c r="F180" s="33">
        <v>2902</v>
      </c>
      <c r="G180" s="33">
        <v>3494</v>
      </c>
      <c r="H180" s="33">
        <v>17821</v>
      </c>
      <c r="I180" s="33">
        <v>7065</v>
      </c>
      <c r="J180" s="33">
        <v>2769</v>
      </c>
      <c r="K180" s="33">
        <v>3494</v>
      </c>
      <c r="L180" s="33">
        <v>13328</v>
      </c>
      <c r="M180" s="33">
        <v>4360</v>
      </c>
      <c r="N180" s="33">
        <v>133</v>
      </c>
      <c r="O180" s="33">
        <v>0</v>
      </c>
      <c r="P180" s="33">
        <v>4493</v>
      </c>
      <c r="Q180" s="56">
        <v>0.74788171258627467</v>
      </c>
      <c r="R180" s="56">
        <v>0.61838074398249454</v>
      </c>
      <c r="S180" s="56">
        <v>0.95416953824948314</v>
      </c>
      <c r="T180" s="56">
        <v>1</v>
      </c>
      <c r="U180" s="116">
        <v>2267</v>
      </c>
      <c r="V180" s="116">
        <v>0</v>
      </c>
      <c r="W180" s="116">
        <v>0</v>
      </c>
      <c r="X180" s="116">
        <v>2267</v>
      </c>
      <c r="Y180" s="116">
        <v>328</v>
      </c>
      <c r="Z180" s="116">
        <v>2595</v>
      </c>
      <c r="AA180" s="116">
        <v>730</v>
      </c>
      <c r="AB180" s="116">
        <v>0</v>
      </c>
      <c r="AC180" s="10" t="s">
        <v>830</v>
      </c>
    </row>
    <row r="181" spans="2:29" x14ac:dyDescent="0.15">
      <c r="B181" s="105" t="s">
        <v>659</v>
      </c>
      <c r="C181" s="105" t="s">
        <v>870</v>
      </c>
      <c r="D181" s="32" t="s">
        <v>860</v>
      </c>
      <c r="E181" s="33">
        <v>7099</v>
      </c>
      <c r="F181" s="33">
        <v>0</v>
      </c>
      <c r="G181" s="33">
        <v>2389</v>
      </c>
      <c r="H181" s="33">
        <v>9488</v>
      </c>
      <c r="I181" s="33">
        <v>4543</v>
      </c>
      <c r="J181" s="33">
        <v>0</v>
      </c>
      <c r="K181" s="33">
        <v>2388</v>
      </c>
      <c r="L181" s="33">
        <v>6931</v>
      </c>
      <c r="M181" s="33">
        <v>2556</v>
      </c>
      <c r="N181" s="33">
        <v>0</v>
      </c>
      <c r="O181" s="33">
        <v>1</v>
      </c>
      <c r="P181" s="33">
        <v>2557</v>
      </c>
      <c r="Q181" s="56">
        <v>0.73050168634064083</v>
      </c>
      <c r="R181" s="56">
        <v>0.63994928863220168</v>
      </c>
      <c r="S181" s="56" t="s">
        <v>41</v>
      </c>
      <c r="T181" s="56">
        <v>0.9995814148179154</v>
      </c>
      <c r="U181" s="116">
        <v>2308</v>
      </c>
      <c r="V181" s="116">
        <v>0</v>
      </c>
      <c r="W181" s="116">
        <v>0</v>
      </c>
      <c r="X181" s="116">
        <v>2308</v>
      </c>
      <c r="Y181" s="116">
        <v>820</v>
      </c>
      <c r="Z181" s="116">
        <v>3128</v>
      </c>
      <c r="AA181" s="116">
        <v>460</v>
      </c>
      <c r="AB181" s="116">
        <v>24</v>
      </c>
      <c r="AC181" s="10" t="s">
        <v>836</v>
      </c>
    </row>
    <row r="182" spans="2:29" x14ac:dyDescent="0.15">
      <c r="B182" s="105" t="s">
        <v>667</v>
      </c>
      <c r="C182" s="105" t="s">
        <v>870</v>
      </c>
      <c r="D182" s="32" t="s">
        <v>748</v>
      </c>
      <c r="E182" s="33">
        <v>11041</v>
      </c>
      <c r="F182" s="33">
        <v>0</v>
      </c>
      <c r="G182" s="33">
        <v>0</v>
      </c>
      <c r="H182" s="33">
        <v>11041</v>
      </c>
      <c r="I182" s="33">
        <v>5753</v>
      </c>
      <c r="J182" s="33">
        <v>0</v>
      </c>
      <c r="K182" s="33">
        <v>0</v>
      </c>
      <c r="L182" s="33">
        <v>5753</v>
      </c>
      <c r="M182" s="33">
        <v>5288</v>
      </c>
      <c r="N182" s="33">
        <v>0</v>
      </c>
      <c r="O182" s="33">
        <v>0</v>
      </c>
      <c r="P182" s="33">
        <v>5288</v>
      </c>
      <c r="Q182" s="56">
        <v>0.52105787519246449</v>
      </c>
      <c r="R182" s="56">
        <v>0.52105787519246449</v>
      </c>
      <c r="S182" s="56" t="s">
        <v>41</v>
      </c>
      <c r="T182" s="56" t="s">
        <v>41</v>
      </c>
      <c r="U182" s="116">
        <v>3314</v>
      </c>
      <c r="V182" s="116">
        <v>0</v>
      </c>
      <c r="W182" s="116">
        <v>0</v>
      </c>
      <c r="X182" s="116">
        <v>3314</v>
      </c>
      <c r="Y182" s="116">
        <v>1018</v>
      </c>
      <c r="Z182" s="116">
        <v>4332</v>
      </c>
      <c r="AA182" s="116">
        <v>1083</v>
      </c>
      <c r="AB182" s="116">
        <v>432</v>
      </c>
      <c r="AC182" s="10" t="s">
        <v>836</v>
      </c>
    </row>
    <row r="183" spans="2:29" x14ac:dyDescent="0.15">
      <c r="B183" s="105" t="s">
        <v>676</v>
      </c>
      <c r="C183" s="105" t="s">
        <v>870</v>
      </c>
      <c r="D183" s="32" t="s">
        <v>677</v>
      </c>
      <c r="E183" s="33">
        <v>0</v>
      </c>
      <c r="F183" s="33">
        <v>0</v>
      </c>
      <c r="G183" s="33">
        <v>13126</v>
      </c>
      <c r="H183" s="33">
        <v>13126</v>
      </c>
      <c r="I183" s="33">
        <v>0</v>
      </c>
      <c r="J183" s="33">
        <v>0</v>
      </c>
      <c r="K183" s="33">
        <v>12637</v>
      </c>
      <c r="L183" s="33">
        <v>12637</v>
      </c>
      <c r="M183" s="33">
        <v>0</v>
      </c>
      <c r="N183" s="33">
        <v>0</v>
      </c>
      <c r="O183" s="33">
        <v>489</v>
      </c>
      <c r="P183" s="33">
        <v>489</v>
      </c>
      <c r="Q183" s="56">
        <v>0.96274569556605216</v>
      </c>
      <c r="R183" s="56" t="s">
        <v>41</v>
      </c>
      <c r="S183" s="56" t="s">
        <v>41</v>
      </c>
      <c r="T183" s="56">
        <v>0.96274569556605216</v>
      </c>
      <c r="U183" s="116">
        <v>0</v>
      </c>
      <c r="V183" s="116">
        <v>0</v>
      </c>
      <c r="W183" s="116">
        <v>0</v>
      </c>
      <c r="X183" s="116">
        <v>0</v>
      </c>
      <c r="Y183" s="116">
        <v>0</v>
      </c>
      <c r="Z183" s="116">
        <v>0</v>
      </c>
      <c r="AA183" s="116">
        <v>0</v>
      </c>
      <c r="AB183" s="116">
        <v>0</v>
      </c>
      <c r="AC183" s="10" t="s">
        <v>836</v>
      </c>
    </row>
    <row r="184" spans="2:29" x14ac:dyDescent="0.15">
      <c r="B184" s="105" t="s">
        <v>637</v>
      </c>
      <c r="C184" s="105" t="s">
        <v>870</v>
      </c>
      <c r="D184" s="32" t="s">
        <v>638</v>
      </c>
      <c r="E184" s="33">
        <v>12362</v>
      </c>
      <c r="F184" s="33">
        <v>1182</v>
      </c>
      <c r="G184" s="33">
        <v>0</v>
      </c>
      <c r="H184" s="33">
        <v>13544</v>
      </c>
      <c r="I184" s="33">
        <v>8411</v>
      </c>
      <c r="J184" s="33">
        <v>1167</v>
      </c>
      <c r="K184" s="33">
        <v>0</v>
      </c>
      <c r="L184" s="33">
        <v>9578</v>
      </c>
      <c r="M184" s="33">
        <v>3951</v>
      </c>
      <c r="N184" s="33">
        <v>15</v>
      </c>
      <c r="O184" s="33">
        <v>0</v>
      </c>
      <c r="P184" s="33">
        <v>3966</v>
      </c>
      <c r="Q184" s="56">
        <v>0.70717660956881279</v>
      </c>
      <c r="R184" s="56">
        <v>0.68039152240737744</v>
      </c>
      <c r="S184" s="56">
        <v>0.98730964467005078</v>
      </c>
      <c r="T184" s="56" t="s">
        <v>41</v>
      </c>
      <c r="U184" s="116">
        <v>3804</v>
      </c>
      <c r="V184" s="116">
        <v>7</v>
      </c>
      <c r="W184" s="116">
        <v>0</v>
      </c>
      <c r="X184" s="116">
        <v>3811</v>
      </c>
      <c r="Y184" s="116">
        <v>1624</v>
      </c>
      <c r="Z184" s="116">
        <v>5435</v>
      </c>
      <c r="AA184" s="116">
        <v>589</v>
      </c>
      <c r="AB184" s="116">
        <v>14</v>
      </c>
      <c r="AC184" s="10" t="s">
        <v>75</v>
      </c>
    </row>
    <row r="185" spans="2:29" x14ac:dyDescent="0.15">
      <c r="B185" s="105" t="s">
        <v>678</v>
      </c>
      <c r="C185" s="105" t="s">
        <v>870</v>
      </c>
      <c r="D185" s="32" t="s">
        <v>749</v>
      </c>
      <c r="E185" s="33">
        <v>28715</v>
      </c>
      <c r="F185" s="33">
        <v>1563</v>
      </c>
      <c r="G185" s="33">
        <v>1421</v>
      </c>
      <c r="H185" s="33">
        <v>31699</v>
      </c>
      <c r="I185" s="33">
        <v>16413</v>
      </c>
      <c r="J185" s="33">
        <v>1399</v>
      </c>
      <c r="K185" s="33">
        <v>1264</v>
      </c>
      <c r="L185" s="33">
        <v>19076</v>
      </c>
      <c r="M185" s="33">
        <v>12302</v>
      </c>
      <c r="N185" s="33">
        <v>164</v>
      </c>
      <c r="O185" s="33">
        <v>157</v>
      </c>
      <c r="P185" s="33">
        <v>12623</v>
      </c>
      <c r="Q185" s="56">
        <v>0.60178554528534023</v>
      </c>
      <c r="R185" s="56">
        <v>0.57158279644784959</v>
      </c>
      <c r="S185" s="56">
        <v>0.8950735764555342</v>
      </c>
      <c r="T185" s="56">
        <v>0.88951442646023926</v>
      </c>
      <c r="U185" s="116">
        <v>8244</v>
      </c>
      <c r="V185" s="116">
        <v>18</v>
      </c>
      <c r="W185" s="116">
        <v>13</v>
      </c>
      <c r="X185" s="116">
        <v>8275</v>
      </c>
      <c r="Y185" s="116">
        <v>1652</v>
      </c>
      <c r="Z185" s="116">
        <v>9927</v>
      </c>
      <c r="AA185" s="116">
        <v>1719</v>
      </c>
      <c r="AB185" s="116">
        <v>840</v>
      </c>
      <c r="AC185" s="10" t="s">
        <v>836</v>
      </c>
    </row>
    <row r="186" spans="2:29" x14ac:dyDescent="0.15">
      <c r="B186" s="105" t="s">
        <v>640</v>
      </c>
      <c r="C186" s="105" t="s">
        <v>870</v>
      </c>
      <c r="D186" s="32" t="s">
        <v>786</v>
      </c>
      <c r="E186" s="33">
        <v>0</v>
      </c>
      <c r="F186" s="33">
        <v>0</v>
      </c>
      <c r="G186" s="33">
        <v>5085</v>
      </c>
      <c r="H186" s="33">
        <v>5085</v>
      </c>
      <c r="I186" s="33">
        <v>0</v>
      </c>
      <c r="J186" s="33">
        <v>0</v>
      </c>
      <c r="K186" s="33">
        <v>5085</v>
      </c>
      <c r="L186" s="33">
        <v>5085</v>
      </c>
      <c r="M186" s="33">
        <v>0</v>
      </c>
      <c r="N186" s="33">
        <v>0</v>
      </c>
      <c r="O186" s="33">
        <v>0</v>
      </c>
      <c r="P186" s="33">
        <v>0</v>
      </c>
      <c r="Q186" s="56">
        <v>1</v>
      </c>
      <c r="R186" s="56" t="s">
        <v>41</v>
      </c>
      <c r="S186" s="56" t="s">
        <v>41</v>
      </c>
      <c r="T186" s="56">
        <v>1</v>
      </c>
      <c r="U186" s="116">
        <v>0</v>
      </c>
      <c r="V186" s="116">
        <v>0</v>
      </c>
      <c r="W186" s="116">
        <v>0</v>
      </c>
      <c r="X186" s="116">
        <v>0</v>
      </c>
      <c r="Y186" s="116">
        <v>0</v>
      </c>
      <c r="Z186" s="116">
        <v>0</v>
      </c>
      <c r="AA186" s="116">
        <v>0</v>
      </c>
      <c r="AB186" s="116">
        <v>0</v>
      </c>
      <c r="AC186" s="10" t="s">
        <v>87</v>
      </c>
    </row>
    <row r="187" spans="2:29" x14ac:dyDescent="0.15">
      <c r="B187" s="105" t="s">
        <v>664</v>
      </c>
      <c r="C187" s="105" t="s">
        <v>870</v>
      </c>
      <c r="D187" s="32" t="s">
        <v>666</v>
      </c>
      <c r="E187" s="33">
        <v>0</v>
      </c>
      <c r="F187" s="33">
        <v>0</v>
      </c>
      <c r="G187" s="33">
        <v>2773</v>
      </c>
      <c r="H187" s="33">
        <v>2773</v>
      </c>
      <c r="I187" s="33">
        <v>0</v>
      </c>
      <c r="J187" s="33">
        <v>0</v>
      </c>
      <c r="K187" s="33">
        <v>2689</v>
      </c>
      <c r="L187" s="33">
        <v>2689</v>
      </c>
      <c r="M187" s="33">
        <v>0</v>
      </c>
      <c r="N187" s="33">
        <v>0</v>
      </c>
      <c r="O187" s="33">
        <v>84</v>
      </c>
      <c r="P187" s="33">
        <v>84</v>
      </c>
      <c r="Q187" s="56">
        <v>0.96970789758384424</v>
      </c>
      <c r="R187" s="56" t="s">
        <v>41</v>
      </c>
      <c r="S187" s="56" t="s">
        <v>41</v>
      </c>
      <c r="T187" s="56">
        <v>0.96970789758384424</v>
      </c>
      <c r="U187" s="116">
        <v>0</v>
      </c>
      <c r="V187" s="116">
        <v>0</v>
      </c>
      <c r="W187" s="116">
        <v>0</v>
      </c>
      <c r="X187" s="116">
        <v>0</v>
      </c>
      <c r="Y187" s="116">
        <v>0</v>
      </c>
      <c r="Z187" s="116">
        <v>0</v>
      </c>
      <c r="AA187" s="116">
        <v>0</v>
      </c>
      <c r="AB187" s="116">
        <v>0</v>
      </c>
      <c r="AC187" s="10" t="s">
        <v>836</v>
      </c>
    </row>
    <row r="188" spans="2:29" x14ac:dyDescent="0.15">
      <c r="B188" s="105" t="s">
        <v>569</v>
      </c>
      <c r="C188" s="105" t="s">
        <v>871</v>
      </c>
      <c r="D188" s="32" t="s">
        <v>864</v>
      </c>
      <c r="E188" s="33">
        <v>26019</v>
      </c>
      <c r="F188" s="33">
        <v>2648</v>
      </c>
      <c r="G188" s="33">
        <v>0</v>
      </c>
      <c r="H188" s="33">
        <v>28667</v>
      </c>
      <c r="I188" s="33">
        <v>17631</v>
      </c>
      <c r="J188" s="33">
        <v>2342</v>
      </c>
      <c r="K188" s="33">
        <v>0</v>
      </c>
      <c r="L188" s="33">
        <v>19973</v>
      </c>
      <c r="M188" s="33">
        <v>8388</v>
      </c>
      <c r="N188" s="33">
        <v>306</v>
      </c>
      <c r="O188" s="33">
        <v>0</v>
      </c>
      <c r="P188" s="33">
        <v>8694</v>
      </c>
      <c r="Q188" s="56">
        <v>0.69672445669236405</v>
      </c>
      <c r="R188" s="56">
        <v>0.67762020062262196</v>
      </c>
      <c r="S188" s="56">
        <v>0.8844410876132931</v>
      </c>
      <c r="T188" s="56" t="s">
        <v>41</v>
      </c>
      <c r="U188" s="116">
        <v>8606</v>
      </c>
      <c r="V188" s="116">
        <v>20</v>
      </c>
      <c r="W188" s="116">
        <v>0</v>
      </c>
      <c r="X188" s="116">
        <v>8626</v>
      </c>
      <c r="Y188" s="116">
        <v>4081</v>
      </c>
      <c r="Z188" s="116">
        <v>12707</v>
      </c>
      <c r="AA188" s="116">
        <v>1915</v>
      </c>
      <c r="AB188" s="116">
        <v>620</v>
      </c>
      <c r="AC188" s="10" t="s">
        <v>49</v>
      </c>
    </row>
    <row r="189" spans="2:29" x14ac:dyDescent="0.15">
      <c r="B189" s="105" t="s">
        <v>798</v>
      </c>
      <c r="C189" s="105" t="s">
        <v>871</v>
      </c>
      <c r="D189" s="32" t="s">
        <v>794</v>
      </c>
      <c r="E189" s="33">
        <v>0</v>
      </c>
      <c r="F189" s="33">
        <v>0</v>
      </c>
      <c r="G189" s="33">
        <v>1811</v>
      </c>
      <c r="H189" s="33">
        <v>1811</v>
      </c>
      <c r="I189" s="33">
        <v>0</v>
      </c>
      <c r="J189" s="33">
        <v>0</v>
      </c>
      <c r="K189" s="33">
        <v>1782</v>
      </c>
      <c r="L189" s="33">
        <v>1782</v>
      </c>
      <c r="M189" s="33">
        <v>0</v>
      </c>
      <c r="N189" s="33">
        <v>0</v>
      </c>
      <c r="O189" s="33">
        <v>29</v>
      </c>
      <c r="P189" s="33">
        <v>29</v>
      </c>
      <c r="Q189" s="56">
        <v>0.98398674765323024</v>
      </c>
      <c r="R189" s="56" t="s">
        <v>41</v>
      </c>
      <c r="S189" s="56" t="s">
        <v>41</v>
      </c>
      <c r="T189" s="56">
        <v>0.98398674765323024</v>
      </c>
      <c r="U189" s="116">
        <v>0</v>
      </c>
      <c r="V189" s="116">
        <v>0</v>
      </c>
      <c r="W189" s="116">
        <v>0</v>
      </c>
      <c r="X189" s="116">
        <v>0</v>
      </c>
      <c r="Y189" s="116">
        <v>0</v>
      </c>
      <c r="Z189" s="116">
        <v>0</v>
      </c>
      <c r="AA189" s="116">
        <v>0</v>
      </c>
      <c r="AB189" s="116">
        <v>0</v>
      </c>
      <c r="AC189" s="10" t="s">
        <v>43</v>
      </c>
    </row>
    <row r="190" spans="2:29" x14ac:dyDescent="0.15">
      <c r="B190" s="105" t="s">
        <v>586</v>
      </c>
      <c r="C190" s="105" t="s">
        <v>871</v>
      </c>
      <c r="D190" s="32" t="s">
        <v>587</v>
      </c>
      <c r="E190" s="33">
        <v>0</v>
      </c>
      <c r="F190" s="33">
        <v>0</v>
      </c>
      <c r="G190" s="33">
        <v>0</v>
      </c>
      <c r="H190" s="33">
        <v>0</v>
      </c>
      <c r="I190" s="33">
        <v>0</v>
      </c>
      <c r="J190" s="33">
        <v>0</v>
      </c>
      <c r="K190" s="33">
        <v>0</v>
      </c>
      <c r="L190" s="33">
        <v>0</v>
      </c>
      <c r="M190" s="33">
        <v>0</v>
      </c>
      <c r="N190" s="33">
        <v>0</v>
      </c>
      <c r="O190" s="33">
        <v>0</v>
      </c>
      <c r="P190" s="33">
        <v>0</v>
      </c>
      <c r="Q190" s="56" t="s">
        <v>41</v>
      </c>
      <c r="R190" s="56" t="s">
        <v>41</v>
      </c>
      <c r="S190" s="56" t="s">
        <v>41</v>
      </c>
      <c r="T190" s="56" t="s">
        <v>41</v>
      </c>
      <c r="U190" s="116">
        <v>0</v>
      </c>
      <c r="V190" s="116">
        <v>0</v>
      </c>
      <c r="W190" s="116">
        <v>17</v>
      </c>
      <c r="X190" s="116">
        <v>17</v>
      </c>
      <c r="Y190" s="116">
        <v>60</v>
      </c>
      <c r="Z190" s="116">
        <v>77</v>
      </c>
      <c r="AA190" s="116">
        <v>0</v>
      </c>
      <c r="AB190" s="116">
        <v>0</v>
      </c>
      <c r="AC190" s="10" t="s">
        <v>57</v>
      </c>
    </row>
    <row r="191" spans="2:29" x14ac:dyDescent="0.15">
      <c r="B191" s="105" t="s">
        <v>603</v>
      </c>
      <c r="C191" s="105" t="s">
        <v>871</v>
      </c>
      <c r="D191" s="32" t="s">
        <v>604</v>
      </c>
      <c r="E191" s="33">
        <v>4864</v>
      </c>
      <c r="F191" s="33">
        <v>0</v>
      </c>
      <c r="G191" s="33">
        <v>0</v>
      </c>
      <c r="H191" s="33">
        <v>4864</v>
      </c>
      <c r="I191" s="33">
        <v>2885</v>
      </c>
      <c r="J191" s="33">
        <v>0</v>
      </c>
      <c r="K191" s="33">
        <v>0</v>
      </c>
      <c r="L191" s="33">
        <v>2885</v>
      </c>
      <c r="M191" s="33">
        <v>1979</v>
      </c>
      <c r="N191" s="33">
        <v>0</v>
      </c>
      <c r="O191" s="33">
        <v>0</v>
      </c>
      <c r="P191" s="33">
        <v>1979</v>
      </c>
      <c r="Q191" s="56">
        <v>0.59313322368421051</v>
      </c>
      <c r="R191" s="56">
        <v>0.59313322368421051</v>
      </c>
      <c r="S191" s="56" t="s">
        <v>41</v>
      </c>
      <c r="T191" s="56" t="s">
        <v>41</v>
      </c>
      <c r="U191" s="116">
        <v>2121</v>
      </c>
      <c r="V191" s="116">
        <v>0</v>
      </c>
      <c r="W191" s="116">
        <v>0</v>
      </c>
      <c r="X191" s="116">
        <v>2121</v>
      </c>
      <c r="Y191" s="116">
        <v>554</v>
      </c>
      <c r="Z191" s="116">
        <v>2675</v>
      </c>
      <c r="AA191" s="116">
        <v>287</v>
      </c>
      <c r="AB191" s="116">
        <v>70</v>
      </c>
      <c r="AC191" s="10" t="s">
        <v>65</v>
      </c>
    </row>
    <row r="192" spans="2:29" x14ac:dyDescent="0.15">
      <c r="B192" s="105" t="s">
        <v>605</v>
      </c>
      <c r="C192" s="105" t="s">
        <v>871</v>
      </c>
      <c r="D192" s="32" t="s">
        <v>606</v>
      </c>
      <c r="E192" s="33">
        <v>0</v>
      </c>
      <c r="F192" s="33">
        <v>0</v>
      </c>
      <c r="G192" s="33">
        <v>0</v>
      </c>
      <c r="H192" s="33">
        <v>0</v>
      </c>
      <c r="I192" s="33">
        <v>0</v>
      </c>
      <c r="J192" s="33">
        <v>0</v>
      </c>
      <c r="K192" s="33">
        <v>0</v>
      </c>
      <c r="L192" s="33">
        <v>0</v>
      </c>
      <c r="M192" s="33">
        <v>0</v>
      </c>
      <c r="N192" s="33">
        <v>0</v>
      </c>
      <c r="O192" s="33">
        <v>0</v>
      </c>
      <c r="P192" s="33">
        <v>0</v>
      </c>
      <c r="Q192" s="56" t="s">
        <v>41</v>
      </c>
      <c r="R192" s="56" t="s">
        <v>41</v>
      </c>
      <c r="S192" s="56" t="s">
        <v>41</v>
      </c>
      <c r="T192" s="56" t="s">
        <v>41</v>
      </c>
      <c r="U192" s="116">
        <v>0</v>
      </c>
      <c r="V192" s="116">
        <v>0</v>
      </c>
      <c r="W192" s="116">
        <v>0</v>
      </c>
      <c r="X192" s="116">
        <v>0</v>
      </c>
      <c r="Y192" s="116">
        <v>2</v>
      </c>
      <c r="Z192" s="116">
        <v>2</v>
      </c>
      <c r="AA192" s="116">
        <v>0</v>
      </c>
      <c r="AB192" s="116">
        <v>0</v>
      </c>
      <c r="AC192" s="10" t="s">
        <v>65</v>
      </c>
    </row>
    <row r="193" spans="2:29" x14ac:dyDescent="0.15">
      <c r="B193" s="105" t="s">
        <v>619</v>
      </c>
      <c r="C193" s="105" t="s">
        <v>871</v>
      </c>
      <c r="D193" s="32" t="s">
        <v>831</v>
      </c>
      <c r="E193" s="33">
        <v>0</v>
      </c>
      <c r="F193" s="33">
        <v>0</v>
      </c>
      <c r="G193" s="33">
        <v>8345</v>
      </c>
      <c r="H193" s="33">
        <v>8345</v>
      </c>
      <c r="I193" s="33">
        <v>0</v>
      </c>
      <c r="J193" s="33">
        <v>0</v>
      </c>
      <c r="K193" s="33">
        <v>8020</v>
      </c>
      <c r="L193" s="33">
        <v>8020</v>
      </c>
      <c r="M193" s="33">
        <v>0</v>
      </c>
      <c r="N193" s="33">
        <v>0</v>
      </c>
      <c r="O193" s="33">
        <v>325</v>
      </c>
      <c r="P193" s="33">
        <v>325</v>
      </c>
      <c r="Q193" s="56">
        <v>0.96105452366686639</v>
      </c>
      <c r="R193" s="56" t="s">
        <v>41</v>
      </c>
      <c r="S193" s="56" t="s">
        <v>41</v>
      </c>
      <c r="T193" s="56">
        <v>0.96105452366686639</v>
      </c>
      <c r="U193" s="116">
        <v>0</v>
      </c>
      <c r="V193" s="116">
        <v>0</v>
      </c>
      <c r="W193" s="116">
        <v>0</v>
      </c>
      <c r="X193" s="116">
        <v>0</v>
      </c>
      <c r="Y193" s="116">
        <v>40</v>
      </c>
      <c r="Z193" s="116">
        <v>40</v>
      </c>
      <c r="AA193" s="116">
        <v>0</v>
      </c>
      <c r="AB193" s="116">
        <v>0</v>
      </c>
      <c r="AC193" s="10" t="s">
        <v>71</v>
      </c>
    </row>
    <row r="194" spans="2:29" x14ac:dyDescent="0.15">
      <c r="B194" s="105" t="s">
        <v>621</v>
      </c>
      <c r="C194" s="105" t="s">
        <v>871</v>
      </c>
      <c r="D194" s="32" t="s">
        <v>622</v>
      </c>
      <c r="E194" s="33">
        <v>14773</v>
      </c>
      <c r="F194" s="33">
        <v>0</v>
      </c>
      <c r="G194" s="33">
        <v>0</v>
      </c>
      <c r="H194" s="33">
        <v>14773</v>
      </c>
      <c r="I194" s="33">
        <v>9134</v>
      </c>
      <c r="J194" s="33">
        <v>0</v>
      </c>
      <c r="K194" s="33">
        <v>0</v>
      </c>
      <c r="L194" s="33">
        <v>9134</v>
      </c>
      <c r="M194" s="33">
        <v>5639</v>
      </c>
      <c r="N194" s="33">
        <v>0</v>
      </c>
      <c r="O194" s="33">
        <v>0</v>
      </c>
      <c r="P194" s="33">
        <v>5639</v>
      </c>
      <c r="Q194" s="56">
        <v>0.61829012387463611</v>
      </c>
      <c r="R194" s="56">
        <v>0.61829012387463611</v>
      </c>
      <c r="S194" s="56" t="s">
        <v>41</v>
      </c>
      <c r="T194" s="56" t="s">
        <v>41</v>
      </c>
      <c r="U194" s="116">
        <v>2579</v>
      </c>
      <c r="V194" s="116">
        <v>0</v>
      </c>
      <c r="W194" s="116">
        <v>0</v>
      </c>
      <c r="X194" s="116">
        <v>2579</v>
      </c>
      <c r="Y194" s="116">
        <v>2867</v>
      </c>
      <c r="Z194" s="116">
        <v>5446</v>
      </c>
      <c r="AA194" s="116">
        <v>808</v>
      </c>
      <c r="AB194" s="116">
        <v>454</v>
      </c>
      <c r="AC194" s="10" t="s">
        <v>71</v>
      </c>
    </row>
    <row r="195" spans="2:29" x14ac:dyDescent="0.15">
      <c r="B195" s="105" t="s">
        <v>552</v>
      </c>
      <c r="C195" s="105" t="s">
        <v>871</v>
      </c>
      <c r="D195" s="32" t="s">
        <v>553</v>
      </c>
      <c r="E195" s="33">
        <v>7991</v>
      </c>
      <c r="F195" s="33">
        <v>0</v>
      </c>
      <c r="G195" s="33">
        <v>4602</v>
      </c>
      <c r="H195" s="33">
        <v>12593</v>
      </c>
      <c r="I195" s="33">
        <v>4283</v>
      </c>
      <c r="J195" s="33">
        <v>0</v>
      </c>
      <c r="K195" s="33">
        <v>3974</v>
      </c>
      <c r="L195" s="33">
        <v>8257</v>
      </c>
      <c r="M195" s="33">
        <v>3708</v>
      </c>
      <c r="N195" s="33">
        <v>0</v>
      </c>
      <c r="O195" s="33">
        <v>628</v>
      </c>
      <c r="P195" s="33">
        <v>4336</v>
      </c>
      <c r="Q195" s="56">
        <v>0.65568172794409596</v>
      </c>
      <c r="R195" s="56">
        <v>0.53597797522212487</v>
      </c>
      <c r="S195" s="56" t="s">
        <v>41</v>
      </c>
      <c r="T195" s="56">
        <v>0.86353759235115168</v>
      </c>
      <c r="U195" s="116">
        <v>2746</v>
      </c>
      <c r="V195" s="116">
        <v>0</v>
      </c>
      <c r="W195" s="116">
        <v>0</v>
      </c>
      <c r="X195" s="116">
        <v>2746</v>
      </c>
      <c r="Y195" s="116">
        <v>1252</v>
      </c>
      <c r="Z195" s="116">
        <v>3998</v>
      </c>
      <c r="AA195" s="116">
        <v>1210</v>
      </c>
      <c r="AB195" s="116">
        <v>440</v>
      </c>
      <c r="AC195" s="10" t="s">
        <v>43</v>
      </c>
    </row>
    <row r="196" spans="2:29" x14ac:dyDescent="0.15">
      <c r="B196" s="105" t="s">
        <v>596</v>
      </c>
      <c r="C196" s="105" t="s">
        <v>871</v>
      </c>
      <c r="D196" s="32" t="s">
        <v>597</v>
      </c>
      <c r="E196" s="33">
        <v>0</v>
      </c>
      <c r="F196" s="33">
        <v>0</v>
      </c>
      <c r="G196" s="33">
        <v>67</v>
      </c>
      <c r="H196" s="33">
        <v>67</v>
      </c>
      <c r="I196" s="33">
        <v>0</v>
      </c>
      <c r="J196" s="33">
        <v>0</v>
      </c>
      <c r="K196" s="33">
        <v>67</v>
      </c>
      <c r="L196" s="33">
        <v>67</v>
      </c>
      <c r="M196" s="33">
        <v>0</v>
      </c>
      <c r="N196" s="33">
        <v>0</v>
      </c>
      <c r="O196" s="33">
        <v>0</v>
      </c>
      <c r="P196" s="33">
        <v>0</v>
      </c>
      <c r="Q196" s="56">
        <v>1</v>
      </c>
      <c r="R196" s="56" t="s">
        <v>41</v>
      </c>
      <c r="S196" s="56" t="s">
        <v>41</v>
      </c>
      <c r="T196" s="56">
        <v>1</v>
      </c>
      <c r="U196" s="116">
        <v>0</v>
      </c>
      <c r="V196" s="116">
        <v>0</v>
      </c>
      <c r="W196" s="116">
        <v>0</v>
      </c>
      <c r="X196" s="116">
        <v>0</v>
      </c>
      <c r="Y196" s="116">
        <v>0</v>
      </c>
      <c r="Z196" s="116">
        <v>0</v>
      </c>
      <c r="AA196" s="116">
        <v>0</v>
      </c>
      <c r="AB196" s="116">
        <v>0</v>
      </c>
      <c r="AC196" s="10" t="s">
        <v>63</v>
      </c>
    </row>
    <row r="197" spans="2:29" x14ac:dyDescent="0.15">
      <c r="B197" s="105" t="s">
        <v>556</v>
      </c>
      <c r="C197" s="105" t="s">
        <v>871</v>
      </c>
      <c r="D197" s="32" t="s">
        <v>555</v>
      </c>
      <c r="E197" s="33">
        <v>0</v>
      </c>
      <c r="F197" s="33">
        <v>0</v>
      </c>
      <c r="G197" s="33">
        <v>1382</v>
      </c>
      <c r="H197" s="33">
        <v>1382</v>
      </c>
      <c r="I197" s="33">
        <v>0</v>
      </c>
      <c r="J197" s="33">
        <v>0</v>
      </c>
      <c r="K197" s="33">
        <v>1378</v>
      </c>
      <c r="L197" s="33">
        <v>1378</v>
      </c>
      <c r="M197" s="33">
        <v>0</v>
      </c>
      <c r="N197" s="33">
        <v>0</v>
      </c>
      <c r="O197" s="33">
        <v>4</v>
      </c>
      <c r="P197" s="33">
        <v>4</v>
      </c>
      <c r="Q197" s="56">
        <v>0.99710564399421131</v>
      </c>
      <c r="R197" s="56" t="s">
        <v>41</v>
      </c>
      <c r="S197" s="56" t="s">
        <v>41</v>
      </c>
      <c r="T197" s="56">
        <v>0.99710564399421131</v>
      </c>
      <c r="U197" s="116">
        <v>0</v>
      </c>
      <c r="V197" s="116">
        <v>0</v>
      </c>
      <c r="W197" s="116">
        <v>0</v>
      </c>
      <c r="X197" s="116">
        <v>0</v>
      </c>
      <c r="Y197" s="116">
        <v>0</v>
      </c>
      <c r="Z197" s="116">
        <v>0</v>
      </c>
      <c r="AA197" s="116">
        <v>0</v>
      </c>
      <c r="AB197" s="116">
        <v>0</v>
      </c>
      <c r="AC197" s="10" t="s">
        <v>43</v>
      </c>
    </row>
    <row r="198" spans="2:29" x14ac:dyDescent="0.15">
      <c r="B198" s="105" t="s">
        <v>588</v>
      </c>
      <c r="C198" s="105" t="s">
        <v>871</v>
      </c>
      <c r="D198" s="32" t="s">
        <v>589</v>
      </c>
      <c r="E198" s="33">
        <v>7435</v>
      </c>
      <c r="F198" s="33">
        <v>0</v>
      </c>
      <c r="G198" s="33">
        <v>12254</v>
      </c>
      <c r="H198" s="33">
        <v>19689</v>
      </c>
      <c r="I198" s="33">
        <v>3507</v>
      </c>
      <c r="J198" s="33">
        <v>0</v>
      </c>
      <c r="K198" s="33">
        <v>11352</v>
      </c>
      <c r="L198" s="33">
        <v>14859</v>
      </c>
      <c r="M198" s="33">
        <v>3928</v>
      </c>
      <c r="N198" s="33">
        <v>0</v>
      </c>
      <c r="O198" s="33">
        <v>902</v>
      </c>
      <c r="P198" s="33">
        <v>4830</v>
      </c>
      <c r="Q198" s="56">
        <v>0.75468535730610997</v>
      </c>
      <c r="R198" s="56">
        <v>0.47168796234028243</v>
      </c>
      <c r="S198" s="56" t="s">
        <v>41</v>
      </c>
      <c r="T198" s="56">
        <v>0.92639138240574503</v>
      </c>
      <c r="U198" s="116">
        <v>2487</v>
      </c>
      <c r="V198" s="116">
        <v>0</v>
      </c>
      <c r="W198" s="116">
        <v>42</v>
      </c>
      <c r="X198" s="116">
        <v>2529</v>
      </c>
      <c r="Y198" s="116">
        <v>1399</v>
      </c>
      <c r="Z198" s="116">
        <v>3928</v>
      </c>
      <c r="AA198" s="116">
        <v>944</v>
      </c>
      <c r="AB198" s="116">
        <v>497</v>
      </c>
      <c r="AC198" s="10" t="s">
        <v>57</v>
      </c>
    </row>
    <row r="199" spans="2:29" x14ac:dyDescent="0.15">
      <c r="B199" s="105" t="s">
        <v>600</v>
      </c>
      <c r="C199" s="105" t="s">
        <v>871</v>
      </c>
      <c r="D199" s="32" t="s">
        <v>601</v>
      </c>
      <c r="E199" s="33">
        <v>13099</v>
      </c>
      <c r="F199" s="33">
        <v>0</v>
      </c>
      <c r="G199" s="33">
        <v>4953</v>
      </c>
      <c r="H199" s="33">
        <v>18052</v>
      </c>
      <c r="I199" s="33">
        <v>6574</v>
      </c>
      <c r="J199" s="33">
        <v>0</v>
      </c>
      <c r="K199" s="33">
        <v>4940</v>
      </c>
      <c r="L199" s="33">
        <v>11514</v>
      </c>
      <c r="M199" s="33">
        <v>6525</v>
      </c>
      <c r="N199" s="33">
        <v>0</v>
      </c>
      <c r="O199" s="33">
        <v>13</v>
      </c>
      <c r="P199" s="33">
        <v>6538</v>
      </c>
      <c r="Q199" s="56">
        <v>0.63782406381564372</v>
      </c>
      <c r="R199" s="56">
        <v>0.50187037178410565</v>
      </c>
      <c r="S199" s="56" t="s">
        <v>41</v>
      </c>
      <c r="T199" s="56">
        <v>0.99737532808398954</v>
      </c>
      <c r="U199" s="116">
        <v>3186</v>
      </c>
      <c r="V199" s="116">
        <v>0</v>
      </c>
      <c r="W199" s="116">
        <v>0</v>
      </c>
      <c r="X199" s="116">
        <v>3186</v>
      </c>
      <c r="Y199" s="116">
        <v>1941</v>
      </c>
      <c r="Z199" s="116">
        <v>5127</v>
      </c>
      <c r="AA199" s="116">
        <v>1319</v>
      </c>
      <c r="AB199" s="116">
        <v>213</v>
      </c>
      <c r="AC199" s="10" t="s">
        <v>63</v>
      </c>
    </row>
    <row r="200" spans="2:29" x14ac:dyDescent="0.15">
      <c r="B200" s="105" t="s">
        <v>557</v>
      </c>
      <c r="C200" s="105" t="s">
        <v>871</v>
      </c>
      <c r="D200" s="32" t="s">
        <v>558</v>
      </c>
      <c r="E200" s="33">
        <v>9425</v>
      </c>
      <c r="F200" s="33">
        <v>0</v>
      </c>
      <c r="G200" s="33">
        <v>0</v>
      </c>
      <c r="H200" s="33">
        <v>9425</v>
      </c>
      <c r="I200" s="33">
        <v>5346</v>
      </c>
      <c r="J200" s="33">
        <v>0</v>
      </c>
      <c r="K200" s="33">
        <v>0</v>
      </c>
      <c r="L200" s="33">
        <v>5346</v>
      </c>
      <c r="M200" s="33">
        <v>4079</v>
      </c>
      <c r="N200" s="33">
        <v>0</v>
      </c>
      <c r="O200" s="33">
        <v>0</v>
      </c>
      <c r="P200" s="33">
        <v>4079</v>
      </c>
      <c r="Q200" s="56">
        <v>0.56721485411140582</v>
      </c>
      <c r="R200" s="56">
        <v>0.56721485411140582</v>
      </c>
      <c r="S200" s="56" t="s">
        <v>41</v>
      </c>
      <c r="T200" s="56" t="s">
        <v>41</v>
      </c>
      <c r="U200" s="116">
        <v>2863</v>
      </c>
      <c r="V200" s="116">
        <v>0</v>
      </c>
      <c r="W200" s="116">
        <v>0</v>
      </c>
      <c r="X200" s="116">
        <v>2863</v>
      </c>
      <c r="Y200" s="116">
        <v>2044</v>
      </c>
      <c r="Z200" s="116">
        <v>4907</v>
      </c>
      <c r="AA200" s="116">
        <v>1098</v>
      </c>
      <c r="AB200" s="116">
        <v>176</v>
      </c>
      <c r="AC200" s="10" t="s">
        <v>43</v>
      </c>
    </row>
    <row r="201" spans="2:29" x14ac:dyDescent="0.15">
      <c r="B201" s="105" t="s">
        <v>559</v>
      </c>
      <c r="C201" s="105" t="s">
        <v>871</v>
      </c>
      <c r="D201" s="32" t="s">
        <v>560</v>
      </c>
      <c r="E201" s="33">
        <v>5083</v>
      </c>
      <c r="F201" s="33">
        <v>339</v>
      </c>
      <c r="G201" s="33">
        <v>2102</v>
      </c>
      <c r="H201" s="33">
        <v>7524</v>
      </c>
      <c r="I201" s="33">
        <v>2562</v>
      </c>
      <c r="J201" s="33">
        <v>339</v>
      </c>
      <c r="K201" s="33">
        <v>2102</v>
      </c>
      <c r="L201" s="33">
        <v>5003</v>
      </c>
      <c r="M201" s="33">
        <v>2521</v>
      </c>
      <c r="N201" s="33">
        <v>0</v>
      </c>
      <c r="O201" s="33">
        <v>0</v>
      </c>
      <c r="P201" s="33">
        <v>2521</v>
      </c>
      <c r="Q201" s="56">
        <v>0.66493886230728338</v>
      </c>
      <c r="R201" s="56">
        <v>0.50403305134762932</v>
      </c>
      <c r="S201" s="56">
        <v>1</v>
      </c>
      <c r="T201" s="56">
        <v>1</v>
      </c>
      <c r="U201" s="116">
        <v>1192</v>
      </c>
      <c r="V201" s="116">
        <v>0</v>
      </c>
      <c r="W201" s="116">
        <v>0</v>
      </c>
      <c r="X201" s="116">
        <v>1192</v>
      </c>
      <c r="Y201" s="116">
        <v>912</v>
      </c>
      <c r="Z201" s="116">
        <v>2104</v>
      </c>
      <c r="AA201" s="116">
        <v>614</v>
      </c>
      <c r="AB201" s="116">
        <v>235</v>
      </c>
      <c r="AC201" s="10" t="s">
        <v>43</v>
      </c>
    </row>
    <row r="202" spans="2:29" x14ac:dyDescent="0.15">
      <c r="B202" s="105" t="s">
        <v>565</v>
      </c>
      <c r="C202" s="105" t="s">
        <v>871</v>
      </c>
      <c r="D202" s="32" t="s">
        <v>829</v>
      </c>
      <c r="E202" s="33">
        <v>0</v>
      </c>
      <c r="F202" s="33">
        <v>0</v>
      </c>
      <c r="G202" s="33">
        <v>9616</v>
      </c>
      <c r="H202" s="33">
        <v>9616</v>
      </c>
      <c r="I202" s="33">
        <v>0</v>
      </c>
      <c r="J202" s="33">
        <v>0</v>
      </c>
      <c r="K202" s="33">
        <v>9151</v>
      </c>
      <c r="L202" s="33">
        <v>9151</v>
      </c>
      <c r="M202" s="33">
        <v>0</v>
      </c>
      <c r="N202" s="33">
        <v>0</v>
      </c>
      <c r="O202" s="33">
        <v>465</v>
      </c>
      <c r="P202" s="33">
        <v>465</v>
      </c>
      <c r="Q202" s="56">
        <v>0.9516430948419301</v>
      </c>
      <c r="R202" s="56" t="s">
        <v>41</v>
      </c>
      <c r="S202" s="56" t="s">
        <v>41</v>
      </c>
      <c r="T202" s="56">
        <v>0.9516430948419301</v>
      </c>
      <c r="U202" s="116">
        <v>0</v>
      </c>
      <c r="V202" s="116">
        <v>0</v>
      </c>
      <c r="W202" s="116">
        <v>0</v>
      </c>
      <c r="X202" s="116">
        <v>0</v>
      </c>
      <c r="Y202" s="116">
        <v>0</v>
      </c>
      <c r="Z202" s="116">
        <v>0</v>
      </c>
      <c r="AA202" s="116">
        <v>0</v>
      </c>
      <c r="AB202" s="116">
        <v>0</v>
      </c>
      <c r="AC202" s="10" t="s">
        <v>49</v>
      </c>
    </row>
    <row r="203" spans="2:29" x14ac:dyDescent="0.15">
      <c r="B203" s="105" t="s">
        <v>648</v>
      </c>
      <c r="C203" s="105" t="s">
        <v>871</v>
      </c>
      <c r="D203" s="32" t="s">
        <v>649</v>
      </c>
      <c r="E203" s="33">
        <v>12302</v>
      </c>
      <c r="F203" s="33">
        <v>0</v>
      </c>
      <c r="G203" s="33">
        <v>9524</v>
      </c>
      <c r="H203" s="33">
        <v>21826</v>
      </c>
      <c r="I203" s="33">
        <v>6447</v>
      </c>
      <c r="J203" s="33">
        <v>0</v>
      </c>
      <c r="K203" s="33">
        <v>9201</v>
      </c>
      <c r="L203" s="33">
        <v>15648</v>
      </c>
      <c r="M203" s="33">
        <v>5855</v>
      </c>
      <c r="N203" s="33">
        <v>0</v>
      </c>
      <c r="O203" s="33">
        <v>323</v>
      </c>
      <c r="P203" s="33">
        <v>6178</v>
      </c>
      <c r="Q203" s="56">
        <v>0.71694309539081824</v>
      </c>
      <c r="R203" s="56">
        <v>0.52406112827182572</v>
      </c>
      <c r="S203" s="56" t="s">
        <v>41</v>
      </c>
      <c r="T203" s="56">
        <v>0.96608567828643432</v>
      </c>
      <c r="U203" s="116">
        <v>3121</v>
      </c>
      <c r="V203" s="116">
        <v>0</v>
      </c>
      <c r="W203" s="116">
        <v>0</v>
      </c>
      <c r="X203" s="116">
        <v>3121</v>
      </c>
      <c r="Y203" s="116">
        <v>1809</v>
      </c>
      <c r="Z203" s="116">
        <v>4930</v>
      </c>
      <c r="AA203" s="116">
        <v>639</v>
      </c>
      <c r="AB203" s="116">
        <v>86</v>
      </c>
      <c r="AC203" s="10" t="s">
        <v>109</v>
      </c>
    </row>
    <row r="204" spans="2:29" x14ac:dyDescent="0.15">
      <c r="B204" s="105" t="s">
        <v>607</v>
      </c>
      <c r="C204" s="105" t="s">
        <v>871</v>
      </c>
      <c r="D204" s="32" t="s">
        <v>608</v>
      </c>
      <c r="E204" s="33">
        <v>0</v>
      </c>
      <c r="F204" s="33">
        <v>0</v>
      </c>
      <c r="G204" s="33">
        <v>1786</v>
      </c>
      <c r="H204" s="33">
        <v>1786</v>
      </c>
      <c r="I204" s="33">
        <v>0</v>
      </c>
      <c r="J204" s="33">
        <v>0</v>
      </c>
      <c r="K204" s="33">
        <v>1676</v>
      </c>
      <c r="L204" s="33">
        <v>1676</v>
      </c>
      <c r="M204" s="33">
        <v>0</v>
      </c>
      <c r="N204" s="33">
        <v>0</v>
      </c>
      <c r="O204" s="33">
        <v>110</v>
      </c>
      <c r="P204" s="33">
        <v>110</v>
      </c>
      <c r="Q204" s="56">
        <v>0.93840985442329228</v>
      </c>
      <c r="R204" s="56" t="s">
        <v>41</v>
      </c>
      <c r="S204" s="56" t="s">
        <v>41</v>
      </c>
      <c r="T204" s="56">
        <v>0.93840985442329228</v>
      </c>
      <c r="U204" s="116">
        <v>0</v>
      </c>
      <c r="V204" s="116">
        <v>0</v>
      </c>
      <c r="W204" s="116">
        <v>0</v>
      </c>
      <c r="X204" s="116">
        <v>0</v>
      </c>
      <c r="Y204" s="116">
        <v>0</v>
      </c>
      <c r="Z204" s="116">
        <v>0</v>
      </c>
      <c r="AA204" s="116">
        <v>0</v>
      </c>
      <c r="AB204" s="116">
        <v>0</v>
      </c>
      <c r="AC204" s="10" t="s">
        <v>63</v>
      </c>
    </row>
    <row r="205" spans="2:29" x14ac:dyDescent="0.15">
      <c r="B205" s="105" t="s">
        <v>623</v>
      </c>
      <c r="C205" s="105" t="s">
        <v>871</v>
      </c>
      <c r="D205" s="32" t="s">
        <v>624</v>
      </c>
      <c r="E205" s="33">
        <v>0</v>
      </c>
      <c r="F205" s="33">
        <v>0</v>
      </c>
      <c r="G205" s="33">
        <v>702</v>
      </c>
      <c r="H205" s="33">
        <v>702</v>
      </c>
      <c r="I205" s="33">
        <v>0</v>
      </c>
      <c r="J205" s="33">
        <v>0</v>
      </c>
      <c r="K205" s="33">
        <v>702</v>
      </c>
      <c r="L205" s="33">
        <v>702</v>
      </c>
      <c r="M205" s="33">
        <v>0</v>
      </c>
      <c r="N205" s="33">
        <v>0</v>
      </c>
      <c r="O205" s="33">
        <v>0</v>
      </c>
      <c r="P205" s="33">
        <v>0</v>
      </c>
      <c r="Q205" s="56">
        <v>1</v>
      </c>
      <c r="R205" s="56" t="s">
        <v>41</v>
      </c>
      <c r="S205" s="56" t="s">
        <v>41</v>
      </c>
      <c r="T205" s="56">
        <v>1</v>
      </c>
      <c r="U205" s="116">
        <v>0</v>
      </c>
      <c r="V205" s="116">
        <v>0</v>
      </c>
      <c r="W205" s="116">
        <v>0</v>
      </c>
      <c r="X205" s="116">
        <v>0</v>
      </c>
      <c r="Y205" s="116">
        <v>0</v>
      </c>
      <c r="Z205" s="116">
        <v>0</v>
      </c>
      <c r="AA205" s="116">
        <v>0</v>
      </c>
      <c r="AB205" s="116">
        <v>0</v>
      </c>
      <c r="AC205" s="10" t="s">
        <v>71</v>
      </c>
    </row>
    <row r="206" spans="2:29" x14ac:dyDescent="0.15">
      <c r="B206" s="105" t="s">
        <v>602</v>
      </c>
      <c r="C206" s="105" t="s">
        <v>871</v>
      </c>
      <c r="D206" s="32" t="s">
        <v>750</v>
      </c>
      <c r="E206" s="33">
        <v>7380</v>
      </c>
      <c r="F206" s="33">
        <v>0</v>
      </c>
      <c r="G206" s="33">
        <v>3743</v>
      </c>
      <c r="H206" s="33">
        <v>11123</v>
      </c>
      <c r="I206" s="33">
        <v>4397</v>
      </c>
      <c r="J206" s="33">
        <v>0</v>
      </c>
      <c r="K206" s="33">
        <v>3553</v>
      </c>
      <c r="L206" s="33">
        <v>7950</v>
      </c>
      <c r="M206" s="33">
        <v>2983</v>
      </c>
      <c r="N206" s="33">
        <v>0</v>
      </c>
      <c r="O206" s="33">
        <v>190</v>
      </c>
      <c r="P206" s="33">
        <v>3173</v>
      </c>
      <c r="Q206" s="56">
        <v>0.71473523330036859</v>
      </c>
      <c r="R206" s="56">
        <v>0.5957994579945799</v>
      </c>
      <c r="S206" s="56" t="s">
        <v>41</v>
      </c>
      <c r="T206" s="56">
        <v>0.949238578680203</v>
      </c>
      <c r="U206" s="116">
        <v>1647</v>
      </c>
      <c r="V206" s="116">
        <v>0</v>
      </c>
      <c r="W206" s="116">
        <v>4</v>
      </c>
      <c r="X206" s="116">
        <v>1651</v>
      </c>
      <c r="Y206" s="116">
        <v>481</v>
      </c>
      <c r="Z206" s="116">
        <v>2132</v>
      </c>
      <c r="AA206" s="116">
        <v>552</v>
      </c>
      <c r="AB206" s="116">
        <v>167</v>
      </c>
      <c r="AC206" s="10" t="s">
        <v>63</v>
      </c>
    </row>
    <row r="207" spans="2:29" x14ac:dyDescent="0.15">
      <c r="B207" s="105" t="s">
        <v>799</v>
      </c>
      <c r="C207" s="105" t="s">
        <v>871</v>
      </c>
      <c r="D207" s="32" t="s">
        <v>795</v>
      </c>
      <c r="E207" s="33">
        <v>0</v>
      </c>
      <c r="F207" s="33">
        <v>0</v>
      </c>
      <c r="G207" s="33">
        <v>1624</v>
      </c>
      <c r="H207" s="33">
        <v>1624</v>
      </c>
      <c r="I207" s="33">
        <v>0</v>
      </c>
      <c r="J207" s="33">
        <v>0</v>
      </c>
      <c r="K207" s="33">
        <v>1604</v>
      </c>
      <c r="L207" s="33">
        <v>1604</v>
      </c>
      <c r="M207" s="33">
        <v>0</v>
      </c>
      <c r="N207" s="33">
        <v>0</v>
      </c>
      <c r="O207" s="33">
        <v>20</v>
      </c>
      <c r="P207" s="33">
        <v>20</v>
      </c>
      <c r="Q207" s="56">
        <v>0.98768472906403937</v>
      </c>
      <c r="R207" s="56" t="s">
        <v>41</v>
      </c>
      <c r="S207" s="56" t="s">
        <v>41</v>
      </c>
      <c r="T207" s="56">
        <v>0.98768472906403937</v>
      </c>
      <c r="U207" s="116">
        <v>0</v>
      </c>
      <c r="V207" s="116">
        <v>0</v>
      </c>
      <c r="W207" s="116">
        <v>0</v>
      </c>
      <c r="X207" s="116">
        <v>0</v>
      </c>
      <c r="Y207" s="116">
        <v>0</v>
      </c>
      <c r="Z207" s="116">
        <v>0</v>
      </c>
      <c r="AA207" s="116">
        <v>0</v>
      </c>
      <c r="AB207" s="116">
        <v>0</v>
      </c>
      <c r="AC207" s="10" t="s">
        <v>43</v>
      </c>
    </row>
    <row r="208" spans="2:29" x14ac:dyDescent="0.15">
      <c r="B208" s="105" t="s">
        <v>609</v>
      </c>
      <c r="C208" s="105" t="s">
        <v>871</v>
      </c>
      <c r="D208" s="32" t="s">
        <v>610</v>
      </c>
      <c r="E208" s="33">
        <v>16401</v>
      </c>
      <c r="F208" s="33">
        <v>0</v>
      </c>
      <c r="G208" s="33">
        <v>4083</v>
      </c>
      <c r="H208" s="33">
        <v>20484</v>
      </c>
      <c r="I208" s="33">
        <v>10634</v>
      </c>
      <c r="J208" s="33">
        <v>0</v>
      </c>
      <c r="K208" s="33">
        <v>4083</v>
      </c>
      <c r="L208" s="33">
        <v>14717</v>
      </c>
      <c r="M208" s="33">
        <v>5767</v>
      </c>
      <c r="N208" s="33">
        <v>0</v>
      </c>
      <c r="O208" s="33">
        <v>0</v>
      </c>
      <c r="P208" s="33">
        <v>5767</v>
      </c>
      <c r="Q208" s="56">
        <v>0.71846319078305021</v>
      </c>
      <c r="R208" s="56">
        <v>0.64837509907932445</v>
      </c>
      <c r="S208" s="56" t="s">
        <v>41</v>
      </c>
      <c r="T208" s="56">
        <v>1</v>
      </c>
      <c r="U208" s="116">
        <v>4192</v>
      </c>
      <c r="V208" s="116">
        <v>2</v>
      </c>
      <c r="W208" s="116">
        <v>0</v>
      </c>
      <c r="X208" s="116">
        <v>4194</v>
      </c>
      <c r="Y208" s="116">
        <v>2564</v>
      </c>
      <c r="Z208" s="116">
        <v>6758</v>
      </c>
      <c r="AA208" s="116">
        <v>1324</v>
      </c>
      <c r="AB208" s="116">
        <v>342</v>
      </c>
      <c r="AC208" s="10" t="s">
        <v>65</v>
      </c>
    </row>
    <row r="209" spans="2:29" x14ac:dyDescent="0.15">
      <c r="B209" s="118" t="s">
        <v>598</v>
      </c>
      <c r="C209" s="118" t="s">
        <v>871</v>
      </c>
      <c r="D209" s="34" t="s">
        <v>599</v>
      </c>
      <c r="E209" s="35">
        <v>9089</v>
      </c>
      <c r="F209" s="35">
        <v>74</v>
      </c>
      <c r="G209" s="35">
        <v>8290</v>
      </c>
      <c r="H209" s="35">
        <v>17453</v>
      </c>
      <c r="I209" s="35">
        <v>3293</v>
      </c>
      <c r="J209" s="35">
        <v>68</v>
      </c>
      <c r="K209" s="35">
        <v>8089</v>
      </c>
      <c r="L209" s="35">
        <v>11450</v>
      </c>
      <c r="M209" s="35">
        <v>5796</v>
      </c>
      <c r="N209" s="35">
        <v>6</v>
      </c>
      <c r="O209" s="35">
        <v>201</v>
      </c>
      <c r="P209" s="35">
        <v>6003</v>
      </c>
      <c r="Q209" s="62">
        <v>0.65604767088752647</v>
      </c>
      <c r="R209" s="62">
        <v>0.36230608427769834</v>
      </c>
      <c r="S209" s="62">
        <v>0.91891891891891897</v>
      </c>
      <c r="T209" s="62">
        <v>0.97575392038600728</v>
      </c>
      <c r="U209" s="119">
        <v>2195</v>
      </c>
      <c r="V209" s="119">
        <v>0</v>
      </c>
      <c r="W209" s="119">
        <v>30</v>
      </c>
      <c r="X209" s="119">
        <v>2225</v>
      </c>
      <c r="Y209" s="119">
        <v>761</v>
      </c>
      <c r="Z209" s="119">
        <v>2986</v>
      </c>
      <c r="AA209" s="119">
        <v>1824</v>
      </c>
      <c r="AB209" s="119">
        <v>588</v>
      </c>
      <c r="AC209" s="10" t="s">
        <v>63</v>
      </c>
    </row>
    <row r="210" spans="2:29" x14ac:dyDescent="0.15">
      <c r="C210" s="3" t="s">
        <v>751</v>
      </c>
      <c r="D210" s="3" t="s">
        <v>751</v>
      </c>
    </row>
    <row r="211" spans="2:29" x14ac:dyDescent="0.15">
      <c r="C211" s="3" t="s">
        <v>751</v>
      </c>
      <c r="D211" s="3" t="s">
        <v>751</v>
      </c>
    </row>
    <row r="212" spans="2:29" x14ac:dyDescent="0.15">
      <c r="C212" s="3" t="s">
        <v>751</v>
      </c>
      <c r="D212" s="3" t="s">
        <v>751</v>
      </c>
    </row>
    <row r="213" spans="2:29" x14ac:dyDescent="0.15">
      <c r="C213" s="3" t="s">
        <v>751</v>
      </c>
      <c r="D213" s="3" t="s">
        <v>751</v>
      </c>
    </row>
    <row r="214" spans="2:29" x14ac:dyDescent="0.15">
      <c r="C214" s="3" t="s">
        <v>751</v>
      </c>
      <c r="D214" s="3" t="s">
        <v>751</v>
      </c>
    </row>
    <row r="215" spans="2:29" x14ac:dyDescent="0.15">
      <c r="C215" s="3" t="s">
        <v>751</v>
      </c>
      <c r="D215" s="3" t="s">
        <v>751</v>
      </c>
    </row>
    <row r="216" spans="2:29" x14ac:dyDescent="0.15">
      <c r="C216" s="3" t="s">
        <v>751</v>
      </c>
      <c r="D216" s="3" t="s">
        <v>751</v>
      </c>
    </row>
    <row r="217" spans="2:29" x14ac:dyDescent="0.15">
      <c r="C217" s="3" t="s">
        <v>751</v>
      </c>
      <c r="D217" s="3" t="s">
        <v>751</v>
      </c>
    </row>
    <row r="218" spans="2:29" x14ac:dyDescent="0.15">
      <c r="C218" s="3" t="s">
        <v>751</v>
      </c>
      <c r="D218" s="3" t="s">
        <v>751</v>
      </c>
    </row>
    <row r="219" spans="2:29" x14ac:dyDescent="0.15">
      <c r="C219" s="3" t="s">
        <v>751</v>
      </c>
      <c r="D219" s="3" t="s">
        <v>751</v>
      </c>
    </row>
    <row r="220" spans="2:29" x14ac:dyDescent="0.15">
      <c r="C220" s="3" t="s">
        <v>751</v>
      </c>
      <c r="D220" s="3" t="s">
        <v>751</v>
      </c>
    </row>
    <row r="221" spans="2:29" x14ac:dyDescent="0.15">
      <c r="C221" s="3" t="s">
        <v>751</v>
      </c>
      <c r="D221" s="3" t="s">
        <v>751</v>
      </c>
    </row>
    <row r="222" spans="2:29" x14ac:dyDescent="0.15">
      <c r="C222" s="3" t="s">
        <v>751</v>
      </c>
      <c r="D222" s="3" t="s">
        <v>751</v>
      </c>
    </row>
    <row r="223" spans="2:29" x14ac:dyDescent="0.15">
      <c r="C223" s="3" t="s">
        <v>751</v>
      </c>
      <c r="D223" s="3" t="s">
        <v>751</v>
      </c>
    </row>
    <row r="224" spans="2:29" x14ac:dyDescent="0.15">
      <c r="C224" s="3" t="s">
        <v>751</v>
      </c>
      <c r="D224" s="3" t="s">
        <v>751</v>
      </c>
    </row>
    <row r="225" spans="3:4" x14ac:dyDescent="0.15">
      <c r="C225" s="3" t="s">
        <v>751</v>
      </c>
      <c r="D225" s="3" t="s">
        <v>751</v>
      </c>
    </row>
    <row r="226" spans="3:4" x14ac:dyDescent="0.15">
      <c r="C226" s="3" t="s">
        <v>751</v>
      </c>
      <c r="D226" s="3" t="s">
        <v>751</v>
      </c>
    </row>
    <row r="227" spans="3:4" x14ac:dyDescent="0.15">
      <c r="C227" s="3" t="s">
        <v>751</v>
      </c>
      <c r="D227" s="3" t="s">
        <v>751</v>
      </c>
    </row>
    <row r="228" spans="3:4" x14ac:dyDescent="0.15">
      <c r="C228" s="3" t="s">
        <v>751</v>
      </c>
      <c r="D228" s="3" t="s">
        <v>751</v>
      </c>
    </row>
    <row r="229" spans="3:4" x14ac:dyDescent="0.15">
      <c r="C229" s="3" t="s">
        <v>751</v>
      </c>
      <c r="D229" s="3" t="s">
        <v>751</v>
      </c>
    </row>
    <row r="230" spans="3:4" x14ac:dyDescent="0.15">
      <c r="C230" s="3" t="s">
        <v>751</v>
      </c>
      <c r="D230" s="3" t="s">
        <v>751</v>
      </c>
    </row>
  </sheetData>
  <mergeCells count="7">
    <mergeCell ref="U15:AB15"/>
    <mergeCell ref="C2:D3"/>
    <mergeCell ref="E15:H15"/>
    <mergeCell ref="I15:L15"/>
    <mergeCell ref="M15:P15"/>
    <mergeCell ref="Q15:T15"/>
    <mergeCell ref="C4:D4"/>
  </mergeCells>
  <pageMargins left="0.74803149606299213" right="0.74803149606299213" top="0.98425196850393704" bottom="0.98425196850393704" header="0.51181102362204722" footer="0.51181102362204722"/>
  <pageSetup paperSize="9" scale="26" orientation="landscape"/>
  <headerFooter alignWithMargins="0"/>
  <rowBreaks count="1" manualBreakCount="1">
    <brk id="69"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E3D4-FD0E-6D45-83DC-16B312ABBD47}">
  <sheetPr codeName="Sheet5"/>
  <dimension ref="B1:AJ230"/>
  <sheetViews>
    <sheetView showGridLines="0" zoomScale="85" zoomScaleNormal="85" zoomScaleSheetLayoutView="25" workbookViewId="0"/>
  </sheetViews>
  <sheetFormatPr baseColWidth="10" defaultColWidth="2" defaultRowHeight="13" x14ac:dyDescent="0.15"/>
  <cols>
    <col min="1" max="1" width="1.83203125" style="75" customWidth="1"/>
    <col min="2" max="2" width="13.1640625" style="75" customWidth="1"/>
    <col min="3" max="3" width="48.83203125" style="75" customWidth="1"/>
    <col min="4" max="4" width="69.5" style="75" customWidth="1"/>
    <col min="5" max="5" width="18.1640625" style="75" customWidth="1"/>
    <col min="6" max="6" width="18.5" style="75" customWidth="1"/>
    <col min="7" max="18" width="16.1640625" style="75" customWidth="1"/>
    <col min="19" max="19" width="23.5" style="75" hidden="1" customWidth="1"/>
    <col min="20" max="20" width="23.5" style="75" customWidth="1"/>
    <col min="21" max="24" width="8.83203125" style="75" customWidth="1"/>
    <col min="25" max="36" width="8.83203125" style="75" hidden="1" customWidth="1"/>
    <col min="37" max="255" width="8.83203125" style="75" customWidth="1"/>
    <col min="256" max="16384" width="2" style="75"/>
  </cols>
  <sheetData>
    <row r="1" spans="2:36" s="72" customFormat="1" ht="18" customHeight="1" x14ac:dyDescent="0.2">
      <c r="E1" s="72">
        <v>7</v>
      </c>
      <c r="F1" s="72">
        <v>8</v>
      </c>
      <c r="G1" s="72">
        <v>9</v>
      </c>
      <c r="I1" s="72">
        <v>13</v>
      </c>
      <c r="J1" s="72">
        <v>14</v>
      </c>
      <c r="K1" s="72">
        <v>15</v>
      </c>
    </row>
    <row r="2" spans="2:36" ht="19.5" customHeight="1" x14ac:dyDescent="0.2">
      <c r="B2" s="73" t="s">
        <v>0</v>
      </c>
      <c r="C2" s="106" t="s">
        <v>686</v>
      </c>
      <c r="D2" s="106"/>
      <c r="E2" s="74"/>
      <c r="F2" s="74"/>
      <c r="H2" s="76"/>
      <c r="I2" s="77"/>
      <c r="Y2" s="76"/>
      <c r="Z2" s="76"/>
      <c r="AA2" s="76"/>
      <c r="AB2" s="76"/>
    </row>
    <row r="3" spans="2:36" ht="17.75" customHeight="1" x14ac:dyDescent="0.2">
      <c r="B3" s="73"/>
      <c r="C3" s="106"/>
      <c r="D3" s="106"/>
      <c r="E3" s="74"/>
      <c r="F3" s="74"/>
      <c r="H3" s="76"/>
      <c r="I3" s="77"/>
      <c r="Y3" s="76"/>
      <c r="Z3" s="76"/>
      <c r="AA3" s="76"/>
      <c r="AB3" s="76"/>
    </row>
    <row r="4" spans="2:36" ht="54" customHeight="1" x14ac:dyDescent="0.15">
      <c r="B4" s="111" t="s">
        <v>2</v>
      </c>
      <c r="C4" s="198" t="s">
        <v>687</v>
      </c>
      <c r="D4" s="198"/>
      <c r="E4" s="79"/>
      <c r="F4" s="79"/>
      <c r="H4" s="76"/>
      <c r="I4" s="80"/>
      <c r="Y4" s="76"/>
      <c r="Z4" s="76"/>
      <c r="AA4" s="76"/>
      <c r="AB4" s="76"/>
    </row>
    <row r="5" spans="2:36" ht="12.75" customHeight="1" x14ac:dyDescent="0.15">
      <c r="B5" s="73"/>
      <c r="C5" s="79"/>
      <c r="D5" s="79"/>
      <c r="E5" s="79"/>
      <c r="F5" s="79"/>
      <c r="H5" s="76"/>
      <c r="Y5" s="76"/>
      <c r="Z5" s="76"/>
      <c r="AA5" s="76"/>
      <c r="AB5" s="76"/>
    </row>
    <row r="6" spans="2:36" ht="16" x14ac:dyDescent="0.2">
      <c r="B6" s="73" t="s">
        <v>4</v>
      </c>
      <c r="C6" s="81" t="s">
        <v>875</v>
      </c>
      <c r="D6" s="81"/>
      <c r="E6" s="81"/>
      <c r="F6" s="82"/>
      <c r="H6" s="76"/>
      <c r="Y6" s="76"/>
      <c r="Z6" s="76"/>
      <c r="AA6" s="76"/>
      <c r="AB6" s="76"/>
    </row>
    <row r="7" spans="2:36" ht="23.25" customHeight="1" x14ac:dyDescent="0.15">
      <c r="B7" s="73" t="s">
        <v>5</v>
      </c>
      <c r="C7" s="83" t="s">
        <v>6</v>
      </c>
      <c r="D7" s="83"/>
      <c r="E7" s="83"/>
      <c r="H7" s="76"/>
      <c r="Y7" s="76"/>
      <c r="Z7" s="76"/>
      <c r="AA7" s="76"/>
      <c r="AB7" s="76"/>
    </row>
    <row r="8" spans="2:36" ht="12.75" customHeight="1" x14ac:dyDescent="0.15">
      <c r="B8" s="73" t="s">
        <v>7</v>
      </c>
      <c r="C8" s="75" t="s">
        <v>8</v>
      </c>
      <c r="H8" s="76"/>
      <c r="Y8" s="76"/>
      <c r="Z8" s="76"/>
      <c r="AA8" s="76"/>
      <c r="AB8" s="76"/>
    </row>
    <row r="9" spans="2:36" ht="12.75" customHeight="1" x14ac:dyDescent="0.15">
      <c r="B9" s="73" t="s">
        <v>9</v>
      </c>
      <c r="C9" s="75" t="s">
        <v>853</v>
      </c>
      <c r="H9" s="26"/>
      <c r="Y9" s="26"/>
      <c r="Z9" s="26"/>
      <c r="AA9" s="26"/>
      <c r="AB9" s="76"/>
    </row>
    <row r="10" spans="2:36" ht="12.75" customHeight="1" x14ac:dyDescent="0.15">
      <c r="B10" s="73" t="s">
        <v>10</v>
      </c>
      <c r="C10" s="84"/>
      <c r="D10" s="84"/>
      <c r="E10" s="84"/>
      <c r="H10" s="76"/>
      <c r="Y10" s="76"/>
      <c r="Z10" s="76"/>
      <c r="AA10" s="76"/>
      <c r="AB10" s="76"/>
    </row>
    <row r="11" spans="2:36" ht="12.75" customHeight="1" x14ac:dyDescent="0.15">
      <c r="B11" s="73" t="s">
        <v>11</v>
      </c>
      <c r="C11" s="75" t="s">
        <v>12</v>
      </c>
      <c r="H11" s="76"/>
      <c r="Y11" s="76"/>
      <c r="Z11" s="76"/>
      <c r="AA11" s="76"/>
      <c r="AB11" s="76"/>
    </row>
    <row r="12" spans="2:36" ht="12.75" customHeight="1" x14ac:dyDescent="0.15">
      <c r="B12" s="73" t="s">
        <v>13</v>
      </c>
      <c r="C12" s="3" t="s">
        <v>14</v>
      </c>
      <c r="H12" s="85"/>
      <c r="Y12" s="85"/>
      <c r="Z12" s="85"/>
      <c r="AA12" s="85"/>
      <c r="AB12" s="85"/>
    </row>
    <row r="13" spans="2:36" x14ac:dyDescent="0.15">
      <c r="B13" s="73"/>
    </row>
    <row r="14" spans="2:36" ht="16" x14ac:dyDescent="0.2">
      <c r="B14" s="86" t="s">
        <v>681</v>
      </c>
      <c r="E14" s="87"/>
      <c r="F14" s="87"/>
      <c r="G14" s="87"/>
      <c r="H14" s="87"/>
      <c r="I14" s="87"/>
      <c r="J14" s="87"/>
      <c r="K14" s="87"/>
      <c r="L14" s="87"/>
      <c r="M14" s="87"/>
      <c r="N14" s="87"/>
      <c r="O14" s="87"/>
      <c r="P14" s="87"/>
      <c r="Q14" s="87"/>
      <c r="R14" s="87"/>
      <c r="Y14" s="87"/>
      <c r="Z14" s="87"/>
      <c r="AA14" s="87"/>
      <c r="AB14" s="87"/>
    </row>
    <row r="15" spans="2:36" ht="39" customHeight="1" x14ac:dyDescent="0.2">
      <c r="B15" s="86"/>
      <c r="C15" s="88"/>
      <c r="D15" s="88"/>
      <c r="E15" s="191" t="s">
        <v>688</v>
      </c>
      <c r="F15" s="192"/>
      <c r="G15" s="192"/>
      <c r="H15" s="193"/>
      <c r="I15" s="194" t="s">
        <v>689</v>
      </c>
      <c r="J15" s="195"/>
      <c r="K15" s="195"/>
      <c r="L15" s="195"/>
      <c r="M15" s="194" t="s">
        <v>690</v>
      </c>
      <c r="N15" s="195"/>
      <c r="O15" s="195"/>
      <c r="P15" s="195"/>
      <c r="Q15" s="196"/>
      <c r="R15" s="197"/>
      <c r="Y15" s="98" t="s">
        <v>691</v>
      </c>
      <c r="Z15" s="98"/>
      <c r="AA15" s="98"/>
      <c r="AB15" s="98"/>
    </row>
    <row r="16" spans="2:36" s="78" customFormat="1" ht="78.5" customHeight="1" x14ac:dyDescent="0.15">
      <c r="B16" s="89" t="s">
        <v>21</v>
      </c>
      <c r="C16" s="89" t="s">
        <v>684</v>
      </c>
      <c r="D16" s="89" t="s">
        <v>128</v>
      </c>
      <c r="E16" s="90" t="s">
        <v>23</v>
      </c>
      <c r="F16" s="90" t="s">
        <v>24</v>
      </c>
      <c r="G16" s="90" t="s">
        <v>25</v>
      </c>
      <c r="H16" s="90" t="s">
        <v>26</v>
      </c>
      <c r="I16" s="90" t="s">
        <v>23</v>
      </c>
      <c r="J16" s="90" t="s">
        <v>24</v>
      </c>
      <c r="K16" s="90" t="s">
        <v>25</v>
      </c>
      <c r="L16" s="24" t="s">
        <v>692</v>
      </c>
      <c r="M16" s="101" t="s">
        <v>693</v>
      </c>
      <c r="N16" s="101" t="s">
        <v>694</v>
      </c>
      <c r="O16" s="101" t="s">
        <v>695</v>
      </c>
      <c r="P16" s="101" t="s">
        <v>696</v>
      </c>
      <c r="Q16" s="24" t="s">
        <v>697</v>
      </c>
      <c r="R16" s="24" t="s">
        <v>698</v>
      </c>
      <c r="Y16" s="98" t="s">
        <v>23</v>
      </c>
      <c r="Z16" s="98" t="s">
        <v>24</v>
      </c>
      <c r="AA16" s="98" t="s">
        <v>25</v>
      </c>
      <c r="AB16" s="98" t="s">
        <v>27</v>
      </c>
      <c r="AC16" s="98"/>
      <c r="AD16" s="98"/>
      <c r="AE16" s="98"/>
      <c r="AF16" s="98"/>
      <c r="AG16" s="98" t="s">
        <v>699</v>
      </c>
      <c r="AH16" s="98" t="s">
        <v>700</v>
      </c>
      <c r="AI16" s="98" t="s">
        <v>701</v>
      </c>
      <c r="AJ16" s="98" t="s">
        <v>702</v>
      </c>
    </row>
    <row r="17" spans="2:36" x14ac:dyDescent="0.15">
      <c r="B17" s="91" t="s">
        <v>41</v>
      </c>
      <c r="C17" s="91" t="s">
        <v>41</v>
      </c>
      <c r="D17" s="92" t="s">
        <v>685</v>
      </c>
      <c r="E17" s="93">
        <v>27709</v>
      </c>
      <c r="F17" s="93">
        <v>499</v>
      </c>
      <c r="G17" s="93">
        <v>46744</v>
      </c>
      <c r="H17" s="93">
        <v>74952</v>
      </c>
      <c r="I17" s="93">
        <v>7952</v>
      </c>
      <c r="J17" s="93">
        <v>59</v>
      </c>
      <c r="K17" s="93">
        <v>581</v>
      </c>
      <c r="L17" s="93">
        <v>8592</v>
      </c>
      <c r="M17" s="94">
        <v>0.8853666346461736</v>
      </c>
      <c r="N17" s="94">
        <v>0.71301743115955107</v>
      </c>
      <c r="O17" s="94">
        <v>0.88176352705410821</v>
      </c>
      <c r="P17" s="94">
        <v>0.98757059729590968</v>
      </c>
      <c r="Q17" s="61">
        <v>0.73915041453022645</v>
      </c>
      <c r="R17" s="94">
        <v>0.7436331753480836</v>
      </c>
      <c r="Y17" s="93">
        <v>19757</v>
      </c>
      <c r="Z17" s="93">
        <v>440</v>
      </c>
      <c r="AA17" s="93">
        <v>46163</v>
      </c>
      <c r="AB17" s="93">
        <v>66360</v>
      </c>
      <c r="AC17" s="99"/>
      <c r="AD17" s="99"/>
      <c r="AE17" s="99"/>
      <c r="AF17" s="99"/>
      <c r="AG17" s="99">
        <v>1751632</v>
      </c>
      <c r="AH17" s="99">
        <v>1817992</v>
      </c>
      <c r="AI17" s="99">
        <v>618159</v>
      </c>
      <c r="AJ17" s="99">
        <v>626751</v>
      </c>
    </row>
    <row r="18" spans="2:36" ht="6.75" customHeight="1" x14ac:dyDescent="0.2">
      <c r="C18" s="95"/>
      <c r="D18" s="95"/>
      <c r="E18" s="95"/>
      <c r="F18" s="95"/>
      <c r="G18" s="95"/>
      <c r="H18" s="95"/>
      <c r="I18" s="95"/>
      <c r="J18" s="95"/>
      <c r="K18" s="95"/>
      <c r="L18" s="96"/>
      <c r="M18" s="95"/>
      <c r="N18" s="95"/>
      <c r="O18" s="95"/>
      <c r="P18" s="96"/>
      <c r="Q18" s="97"/>
      <c r="R18" s="95"/>
      <c r="Y18" s="87"/>
      <c r="Z18" s="87"/>
      <c r="AA18" s="87"/>
      <c r="AB18" s="87"/>
      <c r="AC18" s="100"/>
      <c r="AD18" s="100"/>
      <c r="AE18" s="100"/>
      <c r="AF18" s="100"/>
      <c r="AG18" s="100"/>
      <c r="AH18" s="100"/>
      <c r="AI18" s="100"/>
      <c r="AJ18" s="100"/>
    </row>
    <row r="19" spans="2:36" x14ac:dyDescent="0.15">
      <c r="B19" s="120" t="s">
        <v>283</v>
      </c>
      <c r="C19" s="120" t="s">
        <v>874</v>
      </c>
      <c r="D19" s="121" t="s">
        <v>285</v>
      </c>
      <c r="E19" s="115">
        <v>0</v>
      </c>
      <c r="F19" s="115">
        <v>0</v>
      </c>
      <c r="G19" s="115">
        <v>0</v>
      </c>
      <c r="H19" s="115">
        <v>0</v>
      </c>
      <c r="I19" s="115">
        <v>0</v>
      </c>
      <c r="J19" s="115">
        <v>0</v>
      </c>
      <c r="K19" s="115">
        <v>0</v>
      </c>
      <c r="L19" s="115">
        <v>0</v>
      </c>
      <c r="M19" s="122" t="s">
        <v>41</v>
      </c>
      <c r="N19" s="122" t="s">
        <v>41</v>
      </c>
      <c r="O19" s="122" t="s">
        <v>41</v>
      </c>
      <c r="P19" s="122" t="s">
        <v>41</v>
      </c>
      <c r="Q19" s="55">
        <v>0.74451722107742124</v>
      </c>
      <c r="R19" s="122">
        <v>0.74451722107742124</v>
      </c>
      <c r="S19" s="97" t="s">
        <v>809</v>
      </c>
      <c r="Y19" s="99">
        <v>0</v>
      </c>
      <c r="Z19" s="99">
        <v>0</v>
      </c>
      <c r="AA19" s="99">
        <v>0</v>
      </c>
      <c r="AB19" s="99">
        <v>0</v>
      </c>
      <c r="AG19" s="99">
        <v>20233</v>
      </c>
      <c r="AH19" s="99">
        <v>20233</v>
      </c>
      <c r="AI19" s="99">
        <v>6943</v>
      </c>
      <c r="AJ19" s="99">
        <v>6943</v>
      </c>
    </row>
    <row r="20" spans="2:36" x14ac:dyDescent="0.15">
      <c r="B20" s="123" t="s">
        <v>302</v>
      </c>
      <c r="C20" s="123" t="s">
        <v>874</v>
      </c>
      <c r="D20" s="124" t="s">
        <v>303</v>
      </c>
      <c r="E20" s="116">
        <v>276</v>
      </c>
      <c r="F20" s="116">
        <v>0</v>
      </c>
      <c r="G20" s="116">
        <v>233</v>
      </c>
      <c r="H20" s="116">
        <v>509</v>
      </c>
      <c r="I20" s="116">
        <v>73</v>
      </c>
      <c r="J20" s="116">
        <v>0</v>
      </c>
      <c r="K20" s="116">
        <v>9</v>
      </c>
      <c r="L20" s="116">
        <v>82</v>
      </c>
      <c r="M20" s="125">
        <v>0.83889980353634575</v>
      </c>
      <c r="N20" s="125">
        <v>0.73550724637681164</v>
      </c>
      <c r="O20" s="125" t="s">
        <v>41</v>
      </c>
      <c r="P20" s="125">
        <v>0.96137339055793991</v>
      </c>
      <c r="Q20" s="56">
        <v>0.6802959054937493</v>
      </c>
      <c r="R20" s="125">
        <v>0.68479411600824647</v>
      </c>
      <c r="S20" s="97" t="s">
        <v>809</v>
      </c>
      <c r="Y20" s="99">
        <v>203</v>
      </c>
      <c r="Z20" s="99">
        <v>0</v>
      </c>
      <c r="AA20" s="99">
        <v>224</v>
      </c>
      <c r="AB20" s="99">
        <v>427</v>
      </c>
      <c r="AG20" s="99">
        <v>11863</v>
      </c>
      <c r="AH20" s="99">
        <v>12290</v>
      </c>
      <c r="AI20" s="99">
        <v>5575</v>
      </c>
      <c r="AJ20" s="99">
        <v>5657</v>
      </c>
    </row>
    <row r="21" spans="2:36" x14ac:dyDescent="0.15">
      <c r="B21" s="123" t="s">
        <v>320</v>
      </c>
      <c r="C21" s="123" t="s">
        <v>874</v>
      </c>
      <c r="D21" s="124" t="s">
        <v>865</v>
      </c>
      <c r="E21" s="116">
        <v>0</v>
      </c>
      <c r="F21" s="116">
        <v>0</v>
      </c>
      <c r="G21" s="116">
        <v>0</v>
      </c>
      <c r="H21" s="116">
        <v>0</v>
      </c>
      <c r="I21" s="116">
        <v>0</v>
      </c>
      <c r="J21" s="116">
        <v>0</v>
      </c>
      <c r="K21" s="116">
        <v>0</v>
      </c>
      <c r="L21" s="116">
        <v>0</v>
      </c>
      <c r="M21" s="125" t="s">
        <v>41</v>
      </c>
      <c r="N21" s="125" t="s">
        <v>41</v>
      </c>
      <c r="O21" s="125" t="s">
        <v>41</v>
      </c>
      <c r="P21" s="125" t="s">
        <v>41</v>
      </c>
      <c r="Q21" s="56">
        <v>0.7237604293989478</v>
      </c>
      <c r="R21" s="125">
        <v>0.7237604293989478</v>
      </c>
      <c r="S21" s="97" t="s">
        <v>809</v>
      </c>
      <c r="Y21" s="99">
        <v>0</v>
      </c>
      <c r="Z21" s="99">
        <v>0</v>
      </c>
      <c r="AA21" s="99">
        <v>0</v>
      </c>
      <c r="AB21" s="99">
        <v>0</v>
      </c>
      <c r="AG21" s="99">
        <v>13619</v>
      </c>
      <c r="AH21" s="99">
        <v>13619</v>
      </c>
      <c r="AI21" s="99">
        <v>5198</v>
      </c>
      <c r="AJ21" s="99">
        <v>5198</v>
      </c>
    </row>
    <row r="22" spans="2:36" x14ac:dyDescent="0.15">
      <c r="B22" s="123" t="s">
        <v>396</v>
      </c>
      <c r="C22" s="123" t="s">
        <v>874</v>
      </c>
      <c r="D22" s="124" t="s">
        <v>397</v>
      </c>
      <c r="E22" s="116">
        <v>0</v>
      </c>
      <c r="F22" s="116">
        <v>0</v>
      </c>
      <c r="G22" s="116">
        <v>0</v>
      </c>
      <c r="H22" s="116">
        <v>0</v>
      </c>
      <c r="I22" s="116">
        <v>0</v>
      </c>
      <c r="J22" s="116">
        <v>0</v>
      </c>
      <c r="K22" s="116">
        <v>0</v>
      </c>
      <c r="L22" s="116">
        <v>0</v>
      </c>
      <c r="M22" s="125" t="s">
        <v>41</v>
      </c>
      <c r="N22" s="125" t="s">
        <v>41</v>
      </c>
      <c r="O22" s="125" t="s">
        <v>41</v>
      </c>
      <c r="P22" s="125" t="s">
        <v>41</v>
      </c>
      <c r="Q22" s="56">
        <v>0.75728608067148517</v>
      </c>
      <c r="R22" s="125">
        <v>0.75728608067148517</v>
      </c>
      <c r="S22" s="97" t="s">
        <v>812</v>
      </c>
      <c r="Y22" s="99">
        <v>0</v>
      </c>
      <c r="Z22" s="99">
        <v>0</v>
      </c>
      <c r="AA22" s="99">
        <v>0</v>
      </c>
      <c r="AB22" s="99">
        <v>0</v>
      </c>
      <c r="AG22" s="99">
        <v>19488</v>
      </c>
      <c r="AH22" s="99">
        <v>19488</v>
      </c>
      <c r="AI22" s="99">
        <v>6246</v>
      </c>
      <c r="AJ22" s="99">
        <v>6246</v>
      </c>
    </row>
    <row r="23" spans="2:36" x14ac:dyDescent="0.15">
      <c r="B23" s="123" t="s">
        <v>322</v>
      </c>
      <c r="C23" s="123" t="s">
        <v>874</v>
      </c>
      <c r="D23" s="124" t="s">
        <v>323</v>
      </c>
      <c r="E23" s="116">
        <v>0</v>
      </c>
      <c r="F23" s="116">
        <v>0</v>
      </c>
      <c r="G23" s="116">
        <v>0</v>
      </c>
      <c r="H23" s="116">
        <v>0</v>
      </c>
      <c r="I23" s="116">
        <v>0</v>
      </c>
      <c r="J23" s="116">
        <v>0</v>
      </c>
      <c r="K23" s="116">
        <v>0</v>
      </c>
      <c r="L23" s="116">
        <v>0</v>
      </c>
      <c r="M23" s="125" t="s">
        <v>41</v>
      </c>
      <c r="N23" s="125" t="s">
        <v>41</v>
      </c>
      <c r="O23" s="125" t="s">
        <v>41</v>
      </c>
      <c r="P23" s="125" t="s">
        <v>41</v>
      </c>
      <c r="Q23" s="56">
        <v>0.94476987447698746</v>
      </c>
      <c r="R23" s="125">
        <v>0.94476987447698746</v>
      </c>
      <c r="S23" s="97" t="s">
        <v>809</v>
      </c>
      <c r="Y23" s="99">
        <v>0</v>
      </c>
      <c r="Z23" s="99">
        <v>0</v>
      </c>
      <c r="AA23" s="99">
        <v>0</v>
      </c>
      <c r="AB23" s="99">
        <v>0</v>
      </c>
      <c r="AG23" s="99">
        <v>1129</v>
      </c>
      <c r="AH23" s="99">
        <v>1129</v>
      </c>
      <c r="AI23" s="99">
        <v>66</v>
      </c>
      <c r="AJ23" s="99">
        <v>66</v>
      </c>
    </row>
    <row r="24" spans="2:36" x14ac:dyDescent="0.15">
      <c r="B24" s="123" t="s">
        <v>321</v>
      </c>
      <c r="C24" s="123" t="s">
        <v>874</v>
      </c>
      <c r="D24" s="124" t="s">
        <v>757</v>
      </c>
      <c r="E24" s="116">
        <v>0</v>
      </c>
      <c r="F24" s="116">
        <v>0</v>
      </c>
      <c r="G24" s="116">
        <v>0</v>
      </c>
      <c r="H24" s="116">
        <v>0</v>
      </c>
      <c r="I24" s="116">
        <v>0</v>
      </c>
      <c r="J24" s="116">
        <v>0</v>
      </c>
      <c r="K24" s="116">
        <v>0</v>
      </c>
      <c r="L24" s="116">
        <v>0</v>
      </c>
      <c r="M24" s="125" t="s">
        <v>41</v>
      </c>
      <c r="N24" s="125" t="s">
        <v>41</v>
      </c>
      <c r="O24" s="125" t="s">
        <v>41</v>
      </c>
      <c r="P24" s="125" t="s">
        <v>41</v>
      </c>
      <c r="Q24" s="56">
        <v>0.94845360824742264</v>
      </c>
      <c r="R24" s="125">
        <v>0.94845360824742264</v>
      </c>
      <c r="S24" s="97" t="s">
        <v>809</v>
      </c>
      <c r="Y24" s="99">
        <v>0</v>
      </c>
      <c r="Z24" s="99">
        <v>0</v>
      </c>
      <c r="AA24" s="99">
        <v>0</v>
      </c>
      <c r="AB24" s="99">
        <v>0</v>
      </c>
      <c r="AG24" s="99">
        <v>2208</v>
      </c>
      <c r="AH24" s="99">
        <v>2208</v>
      </c>
      <c r="AI24" s="99">
        <v>120</v>
      </c>
      <c r="AJ24" s="99">
        <v>120</v>
      </c>
    </row>
    <row r="25" spans="2:36" x14ac:dyDescent="0.15">
      <c r="B25" s="123" t="s">
        <v>368</v>
      </c>
      <c r="C25" s="123" t="s">
        <v>874</v>
      </c>
      <c r="D25" s="124" t="s">
        <v>369</v>
      </c>
      <c r="E25" s="116">
        <v>0</v>
      </c>
      <c r="F25" s="116">
        <v>0</v>
      </c>
      <c r="G25" s="116">
        <v>0</v>
      </c>
      <c r="H25" s="116">
        <v>0</v>
      </c>
      <c r="I25" s="116">
        <v>0</v>
      </c>
      <c r="J25" s="116">
        <v>0</v>
      </c>
      <c r="K25" s="116">
        <v>0</v>
      </c>
      <c r="L25" s="116">
        <v>0</v>
      </c>
      <c r="M25" s="125" t="s">
        <v>41</v>
      </c>
      <c r="N25" s="125" t="s">
        <v>41</v>
      </c>
      <c r="O25" s="125" t="s">
        <v>41</v>
      </c>
      <c r="P25" s="125" t="s">
        <v>41</v>
      </c>
      <c r="Q25" s="56">
        <v>0.65958121827411165</v>
      </c>
      <c r="R25" s="125">
        <v>0.65958121827411165</v>
      </c>
      <c r="S25" s="97" t="s">
        <v>812</v>
      </c>
      <c r="Y25" s="99">
        <v>0</v>
      </c>
      <c r="Z25" s="99">
        <v>0</v>
      </c>
      <c r="AA25" s="99">
        <v>0</v>
      </c>
      <c r="AB25" s="99">
        <v>0</v>
      </c>
      <c r="AG25" s="99">
        <v>6237</v>
      </c>
      <c r="AH25" s="99">
        <v>6237</v>
      </c>
      <c r="AI25" s="99">
        <v>3219</v>
      </c>
      <c r="AJ25" s="99">
        <v>3219</v>
      </c>
    </row>
    <row r="26" spans="2:36" x14ac:dyDescent="0.15">
      <c r="B26" s="123" t="s">
        <v>364</v>
      </c>
      <c r="C26" s="123" t="s">
        <v>874</v>
      </c>
      <c r="D26" s="124" t="s">
        <v>811</v>
      </c>
      <c r="E26" s="116">
        <v>33</v>
      </c>
      <c r="F26" s="116">
        <v>0</v>
      </c>
      <c r="G26" s="116">
        <v>20</v>
      </c>
      <c r="H26" s="116">
        <v>53</v>
      </c>
      <c r="I26" s="116">
        <v>2</v>
      </c>
      <c r="J26" s="116">
        <v>0</v>
      </c>
      <c r="K26" s="116">
        <v>0</v>
      </c>
      <c r="L26" s="116">
        <v>2</v>
      </c>
      <c r="M26" s="125">
        <v>0.96226415094339623</v>
      </c>
      <c r="N26" s="125">
        <v>0.93939393939393945</v>
      </c>
      <c r="O26" s="125" t="s">
        <v>41</v>
      </c>
      <c r="P26" s="125">
        <v>1</v>
      </c>
      <c r="Q26" s="56">
        <v>0.69568616877864653</v>
      </c>
      <c r="R26" s="125">
        <v>0.69606655359017855</v>
      </c>
      <c r="S26" s="97" t="s">
        <v>810</v>
      </c>
      <c r="Y26" s="99">
        <v>31</v>
      </c>
      <c r="Z26" s="99">
        <v>0</v>
      </c>
      <c r="AA26" s="99">
        <v>20</v>
      </c>
      <c r="AB26" s="99">
        <v>51</v>
      </c>
      <c r="AG26" s="99">
        <v>25803</v>
      </c>
      <c r="AH26" s="99">
        <v>25854</v>
      </c>
      <c r="AI26" s="99">
        <v>11287</v>
      </c>
      <c r="AJ26" s="99">
        <v>11289</v>
      </c>
    </row>
    <row r="27" spans="2:36" x14ac:dyDescent="0.15">
      <c r="B27" s="123" t="s">
        <v>288</v>
      </c>
      <c r="C27" s="123" t="s">
        <v>874</v>
      </c>
      <c r="D27" s="124" t="s">
        <v>289</v>
      </c>
      <c r="E27" s="116">
        <v>826</v>
      </c>
      <c r="F27" s="116">
        <v>0</v>
      </c>
      <c r="G27" s="116">
        <v>918</v>
      </c>
      <c r="H27" s="116">
        <v>1744</v>
      </c>
      <c r="I27" s="116">
        <v>456</v>
      </c>
      <c r="J27" s="116">
        <v>0</v>
      </c>
      <c r="K27" s="116">
        <v>68</v>
      </c>
      <c r="L27" s="116">
        <v>524</v>
      </c>
      <c r="M27" s="125">
        <v>0.69954128440366969</v>
      </c>
      <c r="N27" s="125">
        <v>0.44794188861985473</v>
      </c>
      <c r="O27" s="125" t="s">
        <v>41</v>
      </c>
      <c r="P27" s="125">
        <v>0.92592592592592593</v>
      </c>
      <c r="Q27" s="56">
        <v>0.70245419979260282</v>
      </c>
      <c r="R27" s="125">
        <v>0.70214078598309582</v>
      </c>
      <c r="S27" s="97" t="s">
        <v>809</v>
      </c>
      <c r="Y27" s="99">
        <v>370</v>
      </c>
      <c r="Z27" s="99">
        <v>0</v>
      </c>
      <c r="AA27" s="99">
        <v>850</v>
      </c>
      <c r="AB27" s="99">
        <v>1220</v>
      </c>
      <c r="AG27" s="99">
        <v>10161</v>
      </c>
      <c r="AH27" s="99">
        <v>11381</v>
      </c>
      <c r="AI27" s="99">
        <v>4304</v>
      </c>
      <c r="AJ27" s="99">
        <v>4828</v>
      </c>
    </row>
    <row r="28" spans="2:36" x14ac:dyDescent="0.15">
      <c r="B28" s="123" t="s">
        <v>370</v>
      </c>
      <c r="C28" s="123" t="s">
        <v>874</v>
      </c>
      <c r="D28" s="124" t="s">
        <v>713</v>
      </c>
      <c r="E28" s="116">
        <v>0</v>
      </c>
      <c r="F28" s="116">
        <v>0</v>
      </c>
      <c r="G28" s="116">
        <v>0</v>
      </c>
      <c r="H28" s="116">
        <v>0</v>
      </c>
      <c r="I28" s="116">
        <v>0</v>
      </c>
      <c r="J28" s="116">
        <v>0</v>
      </c>
      <c r="K28" s="116">
        <v>0</v>
      </c>
      <c r="L28" s="116">
        <v>0</v>
      </c>
      <c r="M28" s="125" t="s">
        <v>41</v>
      </c>
      <c r="N28" s="125" t="s">
        <v>41</v>
      </c>
      <c r="O28" s="125" t="s">
        <v>41</v>
      </c>
      <c r="P28" s="125" t="s">
        <v>41</v>
      </c>
      <c r="Q28" s="56">
        <v>0.7982880022090294</v>
      </c>
      <c r="R28" s="125">
        <v>0.7982880022090294</v>
      </c>
      <c r="S28" s="97" t="s">
        <v>812</v>
      </c>
      <c r="Y28" s="99">
        <v>0</v>
      </c>
      <c r="Z28" s="99">
        <v>0</v>
      </c>
      <c r="AA28" s="99">
        <v>0</v>
      </c>
      <c r="AB28" s="99">
        <v>0</v>
      </c>
      <c r="AG28" s="99">
        <v>17346</v>
      </c>
      <c r="AH28" s="99">
        <v>17346</v>
      </c>
      <c r="AI28" s="99">
        <v>4383</v>
      </c>
      <c r="AJ28" s="99">
        <v>4383</v>
      </c>
    </row>
    <row r="29" spans="2:36" x14ac:dyDescent="0.15">
      <c r="B29" s="123" t="s">
        <v>306</v>
      </c>
      <c r="C29" s="123" t="s">
        <v>874</v>
      </c>
      <c r="D29" s="124" t="s">
        <v>714</v>
      </c>
      <c r="E29" s="116">
        <v>337</v>
      </c>
      <c r="F29" s="116">
        <v>0</v>
      </c>
      <c r="G29" s="116">
        <v>284</v>
      </c>
      <c r="H29" s="116">
        <v>621</v>
      </c>
      <c r="I29" s="116">
        <v>102</v>
      </c>
      <c r="J29" s="116">
        <v>0</v>
      </c>
      <c r="K29" s="116">
        <v>17</v>
      </c>
      <c r="L29" s="116">
        <v>119</v>
      </c>
      <c r="M29" s="125">
        <v>0.80837359098228667</v>
      </c>
      <c r="N29" s="125">
        <v>0.69732937685459939</v>
      </c>
      <c r="O29" s="125" t="s">
        <v>41</v>
      </c>
      <c r="P29" s="125">
        <v>0.9401408450704225</v>
      </c>
      <c r="Q29" s="56">
        <v>0.66354524492965039</v>
      </c>
      <c r="R29" s="125">
        <v>0.66765727871250913</v>
      </c>
      <c r="S29" s="97" t="s">
        <v>809</v>
      </c>
      <c r="Y29" s="99">
        <v>235</v>
      </c>
      <c r="Z29" s="99">
        <v>0</v>
      </c>
      <c r="AA29" s="99">
        <v>267</v>
      </c>
      <c r="AB29" s="99">
        <v>502</v>
      </c>
      <c r="AG29" s="99">
        <v>14101</v>
      </c>
      <c r="AH29" s="99">
        <v>14603</v>
      </c>
      <c r="AI29" s="99">
        <v>7150</v>
      </c>
      <c r="AJ29" s="99">
        <v>7269</v>
      </c>
    </row>
    <row r="30" spans="2:36" x14ac:dyDescent="0.15">
      <c r="B30" s="123" t="s">
        <v>290</v>
      </c>
      <c r="C30" s="123" t="s">
        <v>874</v>
      </c>
      <c r="D30" s="124" t="s">
        <v>857</v>
      </c>
      <c r="E30" s="116">
        <v>0</v>
      </c>
      <c r="F30" s="116">
        <v>0</v>
      </c>
      <c r="G30" s="116">
        <v>0</v>
      </c>
      <c r="H30" s="116">
        <v>0</v>
      </c>
      <c r="I30" s="116">
        <v>0</v>
      </c>
      <c r="J30" s="116">
        <v>0</v>
      </c>
      <c r="K30" s="116">
        <v>0</v>
      </c>
      <c r="L30" s="116">
        <v>0</v>
      </c>
      <c r="M30" s="125" t="s">
        <v>41</v>
      </c>
      <c r="N30" s="125" t="s">
        <v>41</v>
      </c>
      <c r="O30" s="125" t="s">
        <v>41</v>
      </c>
      <c r="P30" s="125" t="s">
        <v>41</v>
      </c>
      <c r="Q30" s="56">
        <v>1</v>
      </c>
      <c r="R30" s="125">
        <v>1</v>
      </c>
      <c r="S30" s="97" t="s">
        <v>809</v>
      </c>
      <c r="Y30" s="99">
        <v>0</v>
      </c>
      <c r="Z30" s="99">
        <v>0</v>
      </c>
      <c r="AA30" s="99">
        <v>0</v>
      </c>
      <c r="AB30" s="99">
        <v>0</v>
      </c>
      <c r="AG30" s="99">
        <v>2335</v>
      </c>
      <c r="AH30" s="99">
        <v>2335</v>
      </c>
      <c r="AI30" s="99">
        <v>0</v>
      </c>
      <c r="AJ30" s="99">
        <v>0</v>
      </c>
    </row>
    <row r="31" spans="2:36" x14ac:dyDescent="0.15">
      <c r="B31" s="123" t="s">
        <v>324</v>
      </c>
      <c r="C31" s="123" t="s">
        <v>874</v>
      </c>
      <c r="D31" s="124" t="s">
        <v>325</v>
      </c>
      <c r="E31" s="116">
        <v>0</v>
      </c>
      <c r="F31" s="116">
        <v>0</v>
      </c>
      <c r="G31" s="116">
        <v>485</v>
      </c>
      <c r="H31" s="116">
        <v>485</v>
      </c>
      <c r="I31" s="116">
        <v>0</v>
      </c>
      <c r="J31" s="116">
        <v>0</v>
      </c>
      <c r="K31" s="116">
        <v>0</v>
      </c>
      <c r="L31" s="116">
        <v>0</v>
      </c>
      <c r="M31" s="125">
        <v>1</v>
      </c>
      <c r="N31" s="125" t="s">
        <v>41</v>
      </c>
      <c r="O31" s="125" t="s">
        <v>41</v>
      </c>
      <c r="P31" s="125">
        <v>1</v>
      </c>
      <c r="Q31" s="56">
        <v>0.76630722998055512</v>
      </c>
      <c r="R31" s="125">
        <v>0.77591321298415117</v>
      </c>
      <c r="S31" s="97" t="s">
        <v>810</v>
      </c>
      <c r="Y31" s="99">
        <v>0</v>
      </c>
      <c r="Z31" s="99">
        <v>0</v>
      </c>
      <c r="AA31" s="99">
        <v>485</v>
      </c>
      <c r="AB31" s="99">
        <v>485</v>
      </c>
      <c r="AG31" s="99">
        <v>8670</v>
      </c>
      <c r="AH31" s="99">
        <v>9155</v>
      </c>
      <c r="AI31" s="99">
        <v>2644</v>
      </c>
      <c r="AJ31" s="99">
        <v>2644</v>
      </c>
    </row>
    <row r="32" spans="2:36" x14ac:dyDescent="0.15">
      <c r="B32" s="123" t="s">
        <v>373</v>
      </c>
      <c r="C32" s="123" t="s">
        <v>874</v>
      </c>
      <c r="D32" s="124" t="s">
        <v>715</v>
      </c>
      <c r="E32" s="116">
        <v>0</v>
      </c>
      <c r="F32" s="116">
        <v>0</v>
      </c>
      <c r="G32" s="116">
        <v>0</v>
      </c>
      <c r="H32" s="116">
        <v>0</v>
      </c>
      <c r="I32" s="116">
        <v>0</v>
      </c>
      <c r="J32" s="116">
        <v>0</v>
      </c>
      <c r="K32" s="116">
        <v>0</v>
      </c>
      <c r="L32" s="116">
        <v>0</v>
      </c>
      <c r="M32" s="125" t="s">
        <v>41</v>
      </c>
      <c r="N32" s="125" t="s">
        <v>41</v>
      </c>
      <c r="O32" s="125" t="s">
        <v>41</v>
      </c>
      <c r="P32" s="125" t="s">
        <v>41</v>
      </c>
      <c r="Q32" s="56">
        <v>0.64805243917811672</v>
      </c>
      <c r="R32" s="125">
        <v>0.64805243917811672</v>
      </c>
      <c r="S32" s="97" t="s">
        <v>812</v>
      </c>
      <c r="Y32" s="99">
        <v>0</v>
      </c>
      <c r="Z32" s="99">
        <v>0</v>
      </c>
      <c r="AA32" s="99">
        <v>0</v>
      </c>
      <c r="AB32" s="99">
        <v>0</v>
      </c>
      <c r="AG32" s="99">
        <v>5141</v>
      </c>
      <c r="AH32" s="99">
        <v>5141</v>
      </c>
      <c r="AI32" s="99">
        <v>2792</v>
      </c>
      <c r="AJ32" s="99">
        <v>2792</v>
      </c>
    </row>
    <row r="33" spans="2:36" x14ac:dyDescent="0.15">
      <c r="B33" s="123" t="s">
        <v>326</v>
      </c>
      <c r="C33" s="123" t="s">
        <v>874</v>
      </c>
      <c r="D33" s="124" t="s">
        <v>327</v>
      </c>
      <c r="E33" s="116">
        <v>0</v>
      </c>
      <c r="F33" s="116">
        <v>0</v>
      </c>
      <c r="G33" s="116">
        <v>511</v>
      </c>
      <c r="H33" s="116">
        <v>511</v>
      </c>
      <c r="I33" s="116">
        <v>0</v>
      </c>
      <c r="J33" s="116">
        <v>0</v>
      </c>
      <c r="K33" s="116">
        <v>0</v>
      </c>
      <c r="L33" s="116">
        <v>0</v>
      </c>
      <c r="M33" s="125">
        <v>1</v>
      </c>
      <c r="N33" s="125" t="s">
        <v>41</v>
      </c>
      <c r="O33" s="125" t="s">
        <v>41</v>
      </c>
      <c r="P33" s="125">
        <v>1</v>
      </c>
      <c r="Q33" s="56">
        <v>0.86852050313046425</v>
      </c>
      <c r="R33" s="125">
        <v>0.87220394736842111</v>
      </c>
      <c r="S33" s="97" t="s">
        <v>809</v>
      </c>
      <c r="Y33" s="99">
        <v>0</v>
      </c>
      <c r="Z33" s="99">
        <v>0</v>
      </c>
      <c r="AA33" s="99">
        <v>511</v>
      </c>
      <c r="AB33" s="99">
        <v>511</v>
      </c>
      <c r="AG33" s="99">
        <v>15398</v>
      </c>
      <c r="AH33" s="99">
        <v>15909</v>
      </c>
      <c r="AI33" s="99">
        <v>2331</v>
      </c>
      <c r="AJ33" s="99">
        <v>2331</v>
      </c>
    </row>
    <row r="34" spans="2:36" x14ac:dyDescent="0.15">
      <c r="B34" s="123" t="s">
        <v>402</v>
      </c>
      <c r="C34" s="123" t="s">
        <v>874</v>
      </c>
      <c r="D34" s="124" t="s">
        <v>403</v>
      </c>
      <c r="E34" s="116">
        <v>60</v>
      </c>
      <c r="F34" s="116">
        <v>0</v>
      </c>
      <c r="G34" s="116">
        <v>0</v>
      </c>
      <c r="H34" s="116">
        <v>60</v>
      </c>
      <c r="I34" s="116">
        <v>0</v>
      </c>
      <c r="J34" s="116">
        <v>0</v>
      </c>
      <c r="K34" s="116">
        <v>0</v>
      </c>
      <c r="L34" s="116">
        <v>0</v>
      </c>
      <c r="M34" s="125">
        <v>1</v>
      </c>
      <c r="N34" s="125">
        <v>1</v>
      </c>
      <c r="O34" s="125" t="s">
        <v>41</v>
      </c>
      <c r="P34" s="125" t="s">
        <v>41</v>
      </c>
      <c r="Q34" s="56">
        <v>0.81627553237722728</v>
      </c>
      <c r="R34" s="125">
        <v>0.81746545768566492</v>
      </c>
      <c r="S34" s="97" t="s">
        <v>812</v>
      </c>
      <c r="Y34" s="99">
        <v>60</v>
      </c>
      <c r="Z34" s="99">
        <v>0</v>
      </c>
      <c r="AA34" s="99">
        <v>0</v>
      </c>
      <c r="AB34" s="99">
        <v>60</v>
      </c>
      <c r="AG34" s="99">
        <v>7513</v>
      </c>
      <c r="AH34" s="99">
        <v>7573</v>
      </c>
      <c r="AI34" s="99">
        <v>1691</v>
      </c>
      <c r="AJ34" s="99">
        <v>1691</v>
      </c>
    </row>
    <row r="35" spans="2:36" x14ac:dyDescent="0.15">
      <c r="B35" s="123" t="s">
        <v>162</v>
      </c>
      <c r="C35" s="123" t="s">
        <v>760</v>
      </c>
      <c r="D35" s="124" t="s">
        <v>855</v>
      </c>
      <c r="E35" s="116">
        <v>0</v>
      </c>
      <c r="F35" s="116">
        <v>0</v>
      </c>
      <c r="G35" s="116">
        <v>0</v>
      </c>
      <c r="H35" s="116">
        <v>0</v>
      </c>
      <c r="I35" s="116">
        <v>0</v>
      </c>
      <c r="J35" s="116">
        <v>0</v>
      </c>
      <c r="K35" s="116">
        <v>0</v>
      </c>
      <c r="L35" s="116">
        <v>0</v>
      </c>
      <c r="M35" s="125" t="s">
        <v>41</v>
      </c>
      <c r="N35" s="125" t="s">
        <v>41</v>
      </c>
      <c r="O35" s="125" t="s">
        <v>41</v>
      </c>
      <c r="P35" s="125" t="s">
        <v>41</v>
      </c>
      <c r="Q35" s="56">
        <v>0.98890045091918144</v>
      </c>
      <c r="R35" s="125">
        <v>0.98890045091918144</v>
      </c>
      <c r="S35" s="97" t="s">
        <v>67</v>
      </c>
      <c r="Y35" s="99">
        <v>0</v>
      </c>
      <c r="Z35" s="99">
        <v>0</v>
      </c>
      <c r="AA35" s="99">
        <v>0</v>
      </c>
      <c r="AB35" s="99">
        <v>0</v>
      </c>
      <c r="AG35" s="99">
        <v>2851</v>
      </c>
      <c r="AH35" s="99">
        <v>2851</v>
      </c>
      <c r="AI35" s="99">
        <v>32</v>
      </c>
      <c r="AJ35" s="99">
        <v>32</v>
      </c>
    </row>
    <row r="36" spans="2:36" x14ac:dyDescent="0.15">
      <c r="B36" s="123" t="s">
        <v>130</v>
      </c>
      <c r="C36" s="123" t="s">
        <v>760</v>
      </c>
      <c r="D36" s="124" t="s">
        <v>716</v>
      </c>
      <c r="E36" s="116">
        <v>0</v>
      </c>
      <c r="F36" s="116">
        <v>0</v>
      </c>
      <c r="G36" s="116">
        <v>0</v>
      </c>
      <c r="H36" s="116">
        <v>0</v>
      </c>
      <c r="I36" s="116">
        <v>0</v>
      </c>
      <c r="J36" s="116">
        <v>0</v>
      </c>
      <c r="K36" s="116">
        <v>0</v>
      </c>
      <c r="L36" s="116">
        <v>0</v>
      </c>
      <c r="M36" s="125" t="s">
        <v>41</v>
      </c>
      <c r="N36" s="125" t="s">
        <v>41</v>
      </c>
      <c r="O36" s="125" t="s">
        <v>41</v>
      </c>
      <c r="P36" s="125" t="s">
        <v>41</v>
      </c>
      <c r="Q36" s="56">
        <v>0.81691557451996344</v>
      </c>
      <c r="R36" s="125">
        <v>0.81691557451996344</v>
      </c>
      <c r="S36" s="97" t="s">
        <v>67</v>
      </c>
      <c r="Y36" s="99">
        <v>0</v>
      </c>
      <c r="Z36" s="99">
        <v>0</v>
      </c>
      <c r="AA36" s="99">
        <v>0</v>
      </c>
      <c r="AB36" s="99">
        <v>0</v>
      </c>
      <c r="AG36" s="99">
        <v>26803</v>
      </c>
      <c r="AH36" s="99">
        <v>26803</v>
      </c>
      <c r="AI36" s="99">
        <v>6007</v>
      </c>
      <c r="AJ36" s="99">
        <v>6007</v>
      </c>
    </row>
    <row r="37" spans="2:36" x14ac:dyDescent="0.15">
      <c r="B37" s="123" t="s">
        <v>134</v>
      </c>
      <c r="C37" s="123" t="s">
        <v>760</v>
      </c>
      <c r="D37" s="126" t="s">
        <v>135</v>
      </c>
      <c r="E37" s="116">
        <v>0</v>
      </c>
      <c r="F37" s="116">
        <v>0</v>
      </c>
      <c r="G37" s="116">
        <v>0</v>
      </c>
      <c r="H37" s="116">
        <v>0</v>
      </c>
      <c r="I37" s="116">
        <v>0</v>
      </c>
      <c r="J37" s="116">
        <v>0</v>
      </c>
      <c r="K37" s="116">
        <v>0</v>
      </c>
      <c r="L37" s="116">
        <v>0</v>
      </c>
      <c r="M37" s="125" t="s">
        <v>41</v>
      </c>
      <c r="N37" s="125" t="s">
        <v>41</v>
      </c>
      <c r="O37" s="125" t="s">
        <v>41</v>
      </c>
      <c r="P37" s="125" t="s">
        <v>41</v>
      </c>
      <c r="Q37" s="56">
        <v>0.74006403415154753</v>
      </c>
      <c r="R37" s="125">
        <v>0.74006403415154753</v>
      </c>
      <c r="S37" s="97" t="s">
        <v>67</v>
      </c>
      <c r="Y37" s="99">
        <v>0</v>
      </c>
      <c r="Z37" s="99">
        <v>0</v>
      </c>
      <c r="AA37" s="99">
        <v>0</v>
      </c>
      <c r="AB37" s="99">
        <v>0</v>
      </c>
      <c r="AG37" s="99">
        <v>34672</v>
      </c>
      <c r="AH37" s="99">
        <v>34672</v>
      </c>
      <c r="AI37" s="99">
        <v>12178</v>
      </c>
      <c r="AJ37" s="99">
        <v>12178</v>
      </c>
    </row>
    <row r="38" spans="2:36" x14ac:dyDescent="0.15">
      <c r="B38" s="123" t="s">
        <v>230</v>
      </c>
      <c r="C38" s="123" t="s">
        <v>760</v>
      </c>
      <c r="D38" s="124" t="s">
        <v>762</v>
      </c>
      <c r="E38" s="116">
        <v>0</v>
      </c>
      <c r="F38" s="116">
        <v>0</v>
      </c>
      <c r="G38" s="116">
        <v>213</v>
      </c>
      <c r="H38" s="116">
        <v>213</v>
      </c>
      <c r="I38" s="116">
        <v>0</v>
      </c>
      <c r="J38" s="116">
        <v>0</v>
      </c>
      <c r="K38" s="116">
        <v>0</v>
      </c>
      <c r="L38" s="116">
        <v>0</v>
      </c>
      <c r="M38" s="125">
        <v>1</v>
      </c>
      <c r="N38" s="125" t="s">
        <v>41</v>
      </c>
      <c r="O38" s="125" t="s">
        <v>41</v>
      </c>
      <c r="P38" s="125">
        <v>1</v>
      </c>
      <c r="Q38" s="56">
        <v>0.99602611410729491</v>
      </c>
      <c r="R38" s="125">
        <v>0.99625267665952888</v>
      </c>
      <c r="S38" s="97" t="s">
        <v>105</v>
      </c>
      <c r="Y38" s="99">
        <v>0</v>
      </c>
      <c r="Z38" s="99">
        <v>0</v>
      </c>
      <c r="AA38" s="99">
        <v>213</v>
      </c>
      <c r="AB38" s="99">
        <v>213</v>
      </c>
      <c r="AG38" s="99">
        <v>3509</v>
      </c>
      <c r="AH38" s="99">
        <v>3722</v>
      </c>
      <c r="AI38" s="99">
        <v>14</v>
      </c>
      <c r="AJ38" s="99">
        <v>14</v>
      </c>
    </row>
    <row r="39" spans="2:36" x14ac:dyDescent="0.15">
      <c r="B39" s="123" t="s">
        <v>203</v>
      </c>
      <c r="C39" s="123" t="s">
        <v>760</v>
      </c>
      <c r="D39" s="124" t="s">
        <v>204</v>
      </c>
      <c r="E39" s="116">
        <v>0</v>
      </c>
      <c r="F39" s="116">
        <v>0</v>
      </c>
      <c r="G39" s="116">
        <v>786</v>
      </c>
      <c r="H39" s="116">
        <v>786</v>
      </c>
      <c r="I39" s="116">
        <v>0</v>
      </c>
      <c r="J39" s="116">
        <v>0</v>
      </c>
      <c r="K39" s="116">
        <v>25</v>
      </c>
      <c r="L39" s="116">
        <v>25</v>
      </c>
      <c r="M39" s="125">
        <v>0.96819338422391854</v>
      </c>
      <c r="N39" s="125" t="s">
        <v>41</v>
      </c>
      <c r="O39" s="125" t="s">
        <v>41</v>
      </c>
      <c r="P39" s="125">
        <v>0.96819338422391854</v>
      </c>
      <c r="Q39" s="56">
        <v>0.97289712724318733</v>
      </c>
      <c r="R39" s="125">
        <v>0.97263907307880226</v>
      </c>
      <c r="S39" s="97" t="s">
        <v>813</v>
      </c>
      <c r="Y39" s="99">
        <v>0</v>
      </c>
      <c r="Z39" s="99">
        <v>0</v>
      </c>
      <c r="AA39" s="99">
        <v>761</v>
      </c>
      <c r="AB39" s="99">
        <v>761</v>
      </c>
      <c r="AG39" s="99">
        <v>13174</v>
      </c>
      <c r="AH39" s="99">
        <v>13935</v>
      </c>
      <c r="AI39" s="99">
        <v>367</v>
      </c>
      <c r="AJ39" s="99">
        <v>392</v>
      </c>
    </row>
    <row r="40" spans="2:36" x14ac:dyDescent="0.15">
      <c r="B40" s="123" t="s">
        <v>207</v>
      </c>
      <c r="C40" s="123" t="s">
        <v>760</v>
      </c>
      <c r="D40" s="124" t="s">
        <v>717</v>
      </c>
      <c r="E40" s="116">
        <v>584</v>
      </c>
      <c r="F40" s="116">
        <v>0</v>
      </c>
      <c r="G40" s="116">
        <v>0</v>
      </c>
      <c r="H40" s="116">
        <v>584</v>
      </c>
      <c r="I40" s="116">
        <v>0</v>
      </c>
      <c r="J40" s="116">
        <v>0</v>
      </c>
      <c r="K40" s="116">
        <v>0</v>
      </c>
      <c r="L40" s="116">
        <v>0</v>
      </c>
      <c r="M40" s="125">
        <v>1</v>
      </c>
      <c r="N40" s="125">
        <v>1</v>
      </c>
      <c r="O40" s="125" t="s">
        <v>41</v>
      </c>
      <c r="P40" s="125" t="s">
        <v>41</v>
      </c>
      <c r="Q40" s="56">
        <v>0.77509313464608831</v>
      </c>
      <c r="R40" s="125">
        <v>0.77965866036358578</v>
      </c>
      <c r="S40" s="97" t="s">
        <v>813</v>
      </c>
      <c r="Y40" s="99">
        <v>584</v>
      </c>
      <c r="Z40" s="99">
        <v>0</v>
      </c>
      <c r="AA40" s="99">
        <v>0</v>
      </c>
      <c r="AB40" s="99">
        <v>584</v>
      </c>
      <c r="AG40" s="99">
        <v>21846</v>
      </c>
      <c r="AH40" s="99">
        <v>22430</v>
      </c>
      <c r="AI40" s="99">
        <v>6339</v>
      </c>
      <c r="AJ40" s="99">
        <v>6339</v>
      </c>
    </row>
    <row r="41" spans="2:36" x14ac:dyDescent="0.15">
      <c r="B41" s="123" t="s">
        <v>250</v>
      </c>
      <c r="C41" s="123" t="s">
        <v>760</v>
      </c>
      <c r="D41" s="124" t="s">
        <v>251</v>
      </c>
      <c r="E41" s="116">
        <v>0</v>
      </c>
      <c r="F41" s="116">
        <v>0</v>
      </c>
      <c r="G41" s="116">
        <v>0</v>
      </c>
      <c r="H41" s="116">
        <v>0</v>
      </c>
      <c r="I41" s="116">
        <v>0</v>
      </c>
      <c r="J41" s="116">
        <v>0</v>
      </c>
      <c r="K41" s="116">
        <v>0</v>
      </c>
      <c r="L41" s="116">
        <v>0</v>
      </c>
      <c r="M41" s="125" t="s">
        <v>41</v>
      </c>
      <c r="N41" s="125" t="s">
        <v>41</v>
      </c>
      <c r="O41" s="125" t="s">
        <v>41</v>
      </c>
      <c r="P41" s="125" t="s">
        <v>41</v>
      </c>
      <c r="Q41" s="56">
        <v>0.72406695195276527</v>
      </c>
      <c r="R41" s="125">
        <v>0.72406695195276527</v>
      </c>
      <c r="S41" s="97" t="s">
        <v>111</v>
      </c>
      <c r="Y41" s="99">
        <v>0</v>
      </c>
      <c r="Z41" s="99">
        <v>0</v>
      </c>
      <c r="AA41" s="99">
        <v>0</v>
      </c>
      <c r="AB41" s="99">
        <v>0</v>
      </c>
      <c r="AG41" s="99">
        <v>13367</v>
      </c>
      <c r="AH41" s="99">
        <v>13367</v>
      </c>
      <c r="AI41" s="99">
        <v>5094</v>
      </c>
      <c r="AJ41" s="99">
        <v>5094</v>
      </c>
    </row>
    <row r="42" spans="2:36" x14ac:dyDescent="0.15">
      <c r="B42" s="123" t="s">
        <v>258</v>
      </c>
      <c r="C42" s="123" t="s">
        <v>760</v>
      </c>
      <c r="D42" s="124" t="s">
        <v>718</v>
      </c>
      <c r="E42" s="116">
        <v>3</v>
      </c>
      <c r="F42" s="116">
        <v>0</v>
      </c>
      <c r="G42" s="116">
        <v>0</v>
      </c>
      <c r="H42" s="116">
        <v>3</v>
      </c>
      <c r="I42" s="116">
        <v>0</v>
      </c>
      <c r="J42" s="116">
        <v>0</v>
      </c>
      <c r="K42" s="116">
        <v>0</v>
      </c>
      <c r="L42" s="116">
        <v>0</v>
      </c>
      <c r="M42" s="125">
        <v>1</v>
      </c>
      <c r="N42" s="125">
        <v>1</v>
      </c>
      <c r="O42" s="125" t="s">
        <v>41</v>
      </c>
      <c r="P42" s="125" t="s">
        <v>41</v>
      </c>
      <c r="Q42" s="56">
        <v>0.70836768342951362</v>
      </c>
      <c r="R42" s="125">
        <v>0.70842777663301049</v>
      </c>
      <c r="S42" s="97" t="s">
        <v>111</v>
      </c>
      <c r="Y42" s="99">
        <v>3</v>
      </c>
      <c r="Z42" s="99">
        <v>0</v>
      </c>
      <c r="AA42" s="99">
        <v>0</v>
      </c>
      <c r="AB42" s="99">
        <v>3</v>
      </c>
      <c r="AG42" s="99">
        <v>10311</v>
      </c>
      <c r="AH42" s="99">
        <v>10314</v>
      </c>
      <c r="AI42" s="99">
        <v>4245</v>
      </c>
      <c r="AJ42" s="99">
        <v>4245</v>
      </c>
    </row>
    <row r="43" spans="2:36" x14ac:dyDescent="0.15">
      <c r="B43" s="123" t="s">
        <v>233</v>
      </c>
      <c r="C43" s="123" t="s">
        <v>760</v>
      </c>
      <c r="D43" s="124" t="s">
        <v>719</v>
      </c>
      <c r="E43" s="116">
        <v>0</v>
      </c>
      <c r="F43" s="116">
        <v>0</v>
      </c>
      <c r="G43" s="116">
        <v>0</v>
      </c>
      <c r="H43" s="116">
        <v>0</v>
      </c>
      <c r="I43" s="116">
        <v>0</v>
      </c>
      <c r="J43" s="116">
        <v>0</v>
      </c>
      <c r="K43" s="116">
        <v>0</v>
      </c>
      <c r="L43" s="116">
        <v>0</v>
      </c>
      <c r="M43" s="125" t="s">
        <v>41</v>
      </c>
      <c r="N43" s="125" t="s">
        <v>41</v>
      </c>
      <c r="O43" s="125" t="s">
        <v>41</v>
      </c>
      <c r="P43" s="125" t="s">
        <v>41</v>
      </c>
      <c r="Q43" s="56">
        <v>0.75441667122463496</v>
      </c>
      <c r="R43" s="125">
        <v>0.75441667122463496</v>
      </c>
      <c r="S43" s="97" t="s">
        <v>105</v>
      </c>
      <c r="Y43" s="99">
        <v>0</v>
      </c>
      <c r="Z43" s="99">
        <v>0</v>
      </c>
      <c r="AA43" s="99">
        <v>0</v>
      </c>
      <c r="AB43" s="99">
        <v>0</v>
      </c>
      <c r="AG43" s="99">
        <v>13793</v>
      </c>
      <c r="AH43" s="99">
        <v>13793</v>
      </c>
      <c r="AI43" s="99">
        <v>4490</v>
      </c>
      <c r="AJ43" s="99">
        <v>4490</v>
      </c>
    </row>
    <row r="44" spans="2:36" x14ac:dyDescent="0.15">
      <c r="B44" s="123" t="s">
        <v>166</v>
      </c>
      <c r="C44" s="123" t="s">
        <v>760</v>
      </c>
      <c r="D44" s="124" t="s">
        <v>858</v>
      </c>
      <c r="E44" s="116">
        <v>0</v>
      </c>
      <c r="F44" s="116">
        <v>0</v>
      </c>
      <c r="G44" s="116">
        <v>0</v>
      </c>
      <c r="H44" s="116">
        <v>0</v>
      </c>
      <c r="I44" s="116">
        <v>0</v>
      </c>
      <c r="J44" s="116">
        <v>0</v>
      </c>
      <c r="K44" s="116">
        <v>0</v>
      </c>
      <c r="L44" s="116">
        <v>0</v>
      </c>
      <c r="M44" s="125" t="s">
        <v>41</v>
      </c>
      <c r="N44" s="125" t="s">
        <v>41</v>
      </c>
      <c r="O44" s="125" t="s">
        <v>41</v>
      </c>
      <c r="P44" s="125" t="s">
        <v>41</v>
      </c>
      <c r="Q44" s="56">
        <v>0.99091569767441856</v>
      </c>
      <c r="R44" s="125">
        <v>0.99091569767441856</v>
      </c>
      <c r="S44" s="97" t="s">
        <v>67</v>
      </c>
      <c r="Y44" s="99">
        <v>0</v>
      </c>
      <c r="Z44" s="99">
        <v>0</v>
      </c>
      <c r="AA44" s="99">
        <v>0</v>
      </c>
      <c r="AB44" s="99">
        <v>0</v>
      </c>
      <c r="AG44" s="99">
        <v>2727</v>
      </c>
      <c r="AH44" s="99">
        <v>2727</v>
      </c>
      <c r="AI44" s="99">
        <v>25</v>
      </c>
      <c r="AJ44" s="99">
        <v>25</v>
      </c>
    </row>
    <row r="45" spans="2:36" x14ac:dyDescent="0.15">
      <c r="B45" s="123" t="s">
        <v>142</v>
      </c>
      <c r="C45" s="123" t="s">
        <v>760</v>
      </c>
      <c r="D45" s="124" t="s">
        <v>143</v>
      </c>
      <c r="E45" s="116">
        <v>0</v>
      </c>
      <c r="F45" s="116">
        <v>0</v>
      </c>
      <c r="G45" s="116">
        <v>0</v>
      </c>
      <c r="H45" s="116">
        <v>0</v>
      </c>
      <c r="I45" s="116">
        <v>0</v>
      </c>
      <c r="J45" s="116">
        <v>0</v>
      </c>
      <c r="K45" s="116">
        <v>0</v>
      </c>
      <c r="L45" s="116">
        <v>0</v>
      </c>
      <c r="M45" s="125" t="s">
        <v>41</v>
      </c>
      <c r="N45" s="125" t="s">
        <v>41</v>
      </c>
      <c r="O45" s="125" t="s">
        <v>41</v>
      </c>
      <c r="P45" s="125" t="s">
        <v>41</v>
      </c>
      <c r="Q45" s="56">
        <v>0.78486750348675038</v>
      </c>
      <c r="R45" s="125">
        <v>0.78486750348675038</v>
      </c>
      <c r="S45" s="97" t="s">
        <v>67</v>
      </c>
      <c r="Y45" s="99">
        <v>0</v>
      </c>
      <c r="Z45" s="99">
        <v>0</v>
      </c>
      <c r="AA45" s="99">
        <v>0</v>
      </c>
      <c r="AB45" s="99">
        <v>0</v>
      </c>
      <c r="AG45" s="99">
        <v>9004</v>
      </c>
      <c r="AH45" s="99">
        <v>9004</v>
      </c>
      <c r="AI45" s="99">
        <v>2468</v>
      </c>
      <c r="AJ45" s="99">
        <v>2468</v>
      </c>
    </row>
    <row r="46" spans="2:36" x14ac:dyDescent="0.15">
      <c r="B46" s="123" t="s">
        <v>210</v>
      </c>
      <c r="C46" s="123" t="s">
        <v>760</v>
      </c>
      <c r="D46" s="124" t="s">
        <v>211</v>
      </c>
      <c r="E46" s="116">
        <v>0</v>
      </c>
      <c r="F46" s="116">
        <v>0</v>
      </c>
      <c r="G46" s="116">
        <v>526</v>
      </c>
      <c r="H46" s="116">
        <v>526</v>
      </c>
      <c r="I46" s="116">
        <v>0</v>
      </c>
      <c r="J46" s="116">
        <v>0</v>
      </c>
      <c r="K46" s="116">
        <v>0</v>
      </c>
      <c r="L46" s="116">
        <v>0</v>
      </c>
      <c r="M46" s="125">
        <v>1</v>
      </c>
      <c r="N46" s="125" t="s">
        <v>41</v>
      </c>
      <c r="O46" s="125" t="s">
        <v>41</v>
      </c>
      <c r="P46" s="125">
        <v>1</v>
      </c>
      <c r="Q46" s="56">
        <v>0.74943962179565549</v>
      </c>
      <c r="R46" s="125">
        <v>0.75469816063519934</v>
      </c>
      <c r="S46" s="97" t="s">
        <v>813</v>
      </c>
      <c r="Y46" s="99">
        <v>0</v>
      </c>
      <c r="Z46" s="99">
        <v>0</v>
      </c>
      <c r="AA46" s="99">
        <v>526</v>
      </c>
      <c r="AB46" s="99">
        <v>526</v>
      </c>
      <c r="AG46" s="99">
        <v>18389</v>
      </c>
      <c r="AH46" s="99">
        <v>18915</v>
      </c>
      <c r="AI46" s="99">
        <v>6148</v>
      </c>
      <c r="AJ46" s="99">
        <v>6148</v>
      </c>
    </row>
    <row r="47" spans="2:36" x14ac:dyDescent="0.15">
      <c r="B47" s="123" t="s">
        <v>236</v>
      </c>
      <c r="C47" s="123" t="s">
        <v>760</v>
      </c>
      <c r="D47" s="124" t="s">
        <v>720</v>
      </c>
      <c r="E47" s="116">
        <v>49</v>
      </c>
      <c r="F47" s="116">
        <v>0</v>
      </c>
      <c r="G47" s="116">
        <v>436</v>
      </c>
      <c r="H47" s="116">
        <v>485</v>
      </c>
      <c r="I47" s="116">
        <v>15</v>
      </c>
      <c r="J47" s="116">
        <v>0</v>
      </c>
      <c r="K47" s="116">
        <v>0</v>
      </c>
      <c r="L47" s="116">
        <v>15</v>
      </c>
      <c r="M47" s="125">
        <v>0.96907216494845361</v>
      </c>
      <c r="N47" s="125">
        <v>0.69387755102040816</v>
      </c>
      <c r="O47" s="125" t="s">
        <v>41</v>
      </c>
      <c r="P47" s="125">
        <v>1</v>
      </c>
      <c r="Q47" s="56">
        <v>0.68659602156534671</v>
      </c>
      <c r="R47" s="125">
        <v>0.69159970781592406</v>
      </c>
      <c r="S47" s="97" t="s">
        <v>105</v>
      </c>
      <c r="Y47" s="99">
        <v>34</v>
      </c>
      <c r="Z47" s="99">
        <v>0</v>
      </c>
      <c r="AA47" s="99">
        <v>436</v>
      </c>
      <c r="AB47" s="99">
        <v>470</v>
      </c>
      <c r="AG47" s="99">
        <v>18466</v>
      </c>
      <c r="AH47" s="99">
        <v>18936</v>
      </c>
      <c r="AI47" s="99">
        <v>8429</v>
      </c>
      <c r="AJ47" s="99">
        <v>8444</v>
      </c>
    </row>
    <row r="48" spans="2:36" x14ac:dyDescent="0.15">
      <c r="B48" s="123" t="s">
        <v>264</v>
      </c>
      <c r="C48" s="123" t="s">
        <v>760</v>
      </c>
      <c r="D48" s="124" t="s">
        <v>861</v>
      </c>
      <c r="E48" s="116">
        <v>0</v>
      </c>
      <c r="F48" s="116">
        <v>0</v>
      </c>
      <c r="G48" s="116">
        <v>0</v>
      </c>
      <c r="H48" s="116">
        <v>0</v>
      </c>
      <c r="I48" s="116">
        <v>0</v>
      </c>
      <c r="J48" s="116">
        <v>0</v>
      </c>
      <c r="K48" s="116">
        <v>0</v>
      </c>
      <c r="L48" s="116">
        <v>0</v>
      </c>
      <c r="M48" s="125" t="s">
        <v>41</v>
      </c>
      <c r="N48" s="125" t="s">
        <v>41</v>
      </c>
      <c r="O48" s="125" t="s">
        <v>41</v>
      </c>
      <c r="P48" s="125" t="s">
        <v>41</v>
      </c>
      <c r="Q48" s="56">
        <v>0.69363732110773801</v>
      </c>
      <c r="R48" s="125">
        <v>0.69363732110773801</v>
      </c>
      <c r="S48" s="97" t="s">
        <v>111</v>
      </c>
      <c r="Y48" s="99">
        <v>0</v>
      </c>
      <c r="Z48" s="99">
        <v>0</v>
      </c>
      <c r="AA48" s="99">
        <v>0</v>
      </c>
      <c r="AB48" s="99">
        <v>0</v>
      </c>
      <c r="AG48" s="99">
        <v>11196</v>
      </c>
      <c r="AH48" s="99">
        <v>11196</v>
      </c>
      <c r="AI48" s="99">
        <v>4945</v>
      </c>
      <c r="AJ48" s="99">
        <v>4945</v>
      </c>
    </row>
    <row r="49" spans="2:36" x14ac:dyDescent="0.15">
      <c r="B49" s="123" t="s">
        <v>239</v>
      </c>
      <c r="C49" s="123" t="s">
        <v>760</v>
      </c>
      <c r="D49" s="124" t="s">
        <v>721</v>
      </c>
      <c r="E49" s="116">
        <v>0</v>
      </c>
      <c r="F49" s="116">
        <v>0</v>
      </c>
      <c r="G49" s="116">
        <v>962</v>
      </c>
      <c r="H49" s="116">
        <v>962</v>
      </c>
      <c r="I49" s="116">
        <v>0</v>
      </c>
      <c r="J49" s="116">
        <v>0</v>
      </c>
      <c r="K49" s="116">
        <v>8</v>
      </c>
      <c r="L49" s="116">
        <v>8</v>
      </c>
      <c r="M49" s="125">
        <v>0.99168399168399168</v>
      </c>
      <c r="N49" s="125" t="s">
        <v>41</v>
      </c>
      <c r="O49" s="125" t="s">
        <v>41</v>
      </c>
      <c r="P49" s="125">
        <v>0.99168399168399168</v>
      </c>
      <c r="Q49" s="56">
        <v>0.70287842251457522</v>
      </c>
      <c r="R49" s="125">
        <v>0.71111704178157342</v>
      </c>
      <c r="S49" s="97" t="s">
        <v>105</v>
      </c>
      <c r="Y49" s="99">
        <v>0</v>
      </c>
      <c r="Z49" s="99">
        <v>0</v>
      </c>
      <c r="AA49" s="99">
        <v>954</v>
      </c>
      <c r="AB49" s="99">
        <v>954</v>
      </c>
      <c r="AG49" s="99">
        <v>23027</v>
      </c>
      <c r="AH49" s="99">
        <v>23981</v>
      </c>
      <c r="AI49" s="99">
        <v>9734</v>
      </c>
      <c r="AJ49" s="99">
        <v>9742</v>
      </c>
    </row>
    <row r="50" spans="2:36" x14ac:dyDescent="0.15">
      <c r="B50" s="123" t="s">
        <v>214</v>
      </c>
      <c r="C50" s="123" t="s">
        <v>760</v>
      </c>
      <c r="D50" s="124" t="s">
        <v>215</v>
      </c>
      <c r="E50" s="116">
        <v>0</v>
      </c>
      <c r="F50" s="116">
        <v>0</v>
      </c>
      <c r="G50" s="116">
        <v>0</v>
      </c>
      <c r="H50" s="116">
        <v>0</v>
      </c>
      <c r="I50" s="116">
        <v>0</v>
      </c>
      <c r="J50" s="116">
        <v>0</v>
      </c>
      <c r="K50" s="116">
        <v>0</v>
      </c>
      <c r="L50" s="116">
        <v>0</v>
      </c>
      <c r="M50" s="125" t="s">
        <v>41</v>
      </c>
      <c r="N50" s="125" t="s">
        <v>41</v>
      </c>
      <c r="O50" s="125" t="s">
        <v>41</v>
      </c>
      <c r="P50" s="125" t="s">
        <v>41</v>
      </c>
      <c r="Q50" s="56">
        <v>0.75418725534236031</v>
      </c>
      <c r="R50" s="125">
        <v>0.75418725534236031</v>
      </c>
      <c r="S50" s="97" t="s">
        <v>813</v>
      </c>
      <c r="Y50" s="99">
        <v>0</v>
      </c>
      <c r="Z50" s="99">
        <v>0</v>
      </c>
      <c r="AA50" s="99">
        <v>0</v>
      </c>
      <c r="AB50" s="99">
        <v>0</v>
      </c>
      <c r="AG50" s="99">
        <v>23505</v>
      </c>
      <c r="AH50" s="99">
        <v>23505</v>
      </c>
      <c r="AI50" s="99">
        <v>7661</v>
      </c>
      <c r="AJ50" s="99">
        <v>7661</v>
      </c>
    </row>
    <row r="51" spans="2:36" x14ac:dyDescent="0.15">
      <c r="B51" s="123" t="s">
        <v>174</v>
      </c>
      <c r="C51" s="123" t="s">
        <v>760</v>
      </c>
      <c r="D51" s="124" t="s">
        <v>175</v>
      </c>
      <c r="E51" s="116">
        <v>0</v>
      </c>
      <c r="F51" s="116">
        <v>0</v>
      </c>
      <c r="G51" s="116">
        <v>0</v>
      </c>
      <c r="H51" s="116">
        <v>0</v>
      </c>
      <c r="I51" s="116">
        <v>0</v>
      </c>
      <c r="J51" s="116">
        <v>0</v>
      </c>
      <c r="K51" s="116">
        <v>0</v>
      </c>
      <c r="L51" s="116">
        <v>0</v>
      </c>
      <c r="M51" s="125" t="s">
        <v>41</v>
      </c>
      <c r="N51" s="125" t="s">
        <v>41</v>
      </c>
      <c r="O51" s="125" t="s">
        <v>41</v>
      </c>
      <c r="P51" s="125" t="s">
        <v>41</v>
      </c>
      <c r="Q51" s="56">
        <v>0.92632059674227429</v>
      </c>
      <c r="R51" s="125">
        <v>0.92632059674227429</v>
      </c>
      <c r="S51" s="97" t="s">
        <v>813</v>
      </c>
      <c r="Y51" s="99">
        <v>0</v>
      </c>
      <c r="Z51" s="99">
        <v>0</v>
      </c>
      <c r="AA51" s="99">
        <v>0</v>
      </c>
      <c r="AB51" s="99">
        <v>0</v>
      </c>
      <c r="AG51" s="99">
        <v>6085</v>
      </c>
      <c r="AH51" s="99">
        <v>6085</v>
      </c>
      <c r="AI51" s="99">
        <v>484</v>
      </c>
      <c r="AJ51" s="99">
        <v>484</v>
      </c>
    </row>
    <row r="52" spans="2:36" x14ac:dyDescent="0.15">
      <c r="B52" s="123" t="s">
        <v>146</v>
      </c>
      <c r="C52" s="123" t="s">
        <v>760</v>
      </c>
      <c r="D52" s="124" t="s">
        <v>147</v>
      </c>
      <c r="E52" s="116">
        <v>0</v>
      </c>
      <c r="F52" s="116">
        <v>0</v>
      </c>
      <c r="G52" s="116">
        <v>0</v>
      </c>
      <c r="H52" s="116">
        <v>0</v>
      </c>
      <c r="I52" s="116">
        <v>0</v>
      </c>
      <c r="J52" s="116">
        <v>0</v>
      </c>
      <c r="K52" s="116">
        <v>0</v>
      </c>
      <c r="L52" s="116">
        <v>0</v>
      </c>
      <c r="M52" s="125" t="s">
        <v>41</v>
      </c>
      <c r="N52" s="125" t="s">
        <v>41</v>
      </c>
      <c r="O52" s="125" t="s">
        <v>41</v>
      </c>
      <c r="P52" s="125" t="s">
        <v>41</v>
      </c>
      <c r="Q52" s="56">
        <v>0.98277982779827799</v>
      </c>
      <c r="R52" s="125">
        <v>0.98277982779827799</v>
      </c>
      <c r="S52" s="97" t="s">
        <v>67</v>
      </c>
      <c r="Y52" s="99">
        <v>0</v>
      </c>
      <c r="Z52" s="99">
        <v>0</v>
      </c>
      <c r="AA52" s="99">
        <v>0</v>
      </c>
      <c r="AB52" s="99">
        <v>0</v>
      </c>
      <c r="AG52" s="99">
        <v>1598</v>
      </c>
      <c r="AH52" s="99">
        <v>1598</v>
      </c>
      <c r="AI52" s="99">
        <v>28</v>
      </c>
      <c r="AJ52" s="99">
        <v>28</v>
      </c>
    </row>
    <row r="53" spans="2:36" x14ac:dyDescent="0.15">
      <c r="B53" s="123" t="s">
        <v>178</v>
      </c>
      <c r="C53" s="123" t="s">
        <v>760</v>
      </c>
      <c r="D53" s="124" t="s">
        <v>179</v>
      </c>
      <c r="E53" s="116">
        <v>169</v>
      </c>
      <c r="F53" s="116">
        <v>4</v>
      </c>
      <c r="G53" s="116">
        <v>219</v>
      </c>
      <c r="H53" s="116">
        <v>392</v>
      </c>
      <c r="I53" s="116">
        <v>36</v>
      </c>
      <c r="J53" s="116">
        <v>0</v>
      </c>
      <c r="K53" s="116">
        <v>12</v>
      </c>
      <c r="L53" s="116">
        <v>48</v>
      </c>
      <c r="M53" s="125">
        <v>0.87755102040816324</v>
      </c>
      <c r="N53" s="125">
        <v>0.78698224852071008</v>
      </c>
      <c r="O53" s="125">
        <v>1</v>
      </c>
      <c r="P53" s="125">
        <v>0.9452054794520548</v>
      </c>
      <c r="Q53" s="56">
        <v>0.80030869720830355</v>
      </c>
      <c r="R53" s="125">
        <v>0.80098013127550116</v>
      </c>
      <c r="S53" s="97" t="s">
        <v>813</v>
      </c>
      <c r="Y53" s="99">
        <v>133</v>
      </c>
      <c r="Z53" s="99">
        <v>4</v>
      </c>
      <c r="AA53" s="99">
        <v>207</v>
      </c>
      <c r="AB53" s="99">
        <v>344</v>
      </c>
      <c r="AG53" s="99">
        <v>35777</v>
      </c>
      <c r="AH53" s="99">
        <v>36121</v>
      </c>
      <c r="AI53" s="99">
        <v>8927</v>
      </c>
      <c r="AJ53" s="99">
        <v>8975</v>
      </c>
    </row>
    <row r="54" spans="2:36" x14ac:dyDescent="0.15">
      <c r="B54" s="123" t="s">
        <v>181</v>
      </c>
      <c r="C54" s="123" t="s">
        <v>760</v>
      </c>
      <c r="D54" s="124" t="s">
        <v>182</v>
      </c>
      <c r="E54" s="116">
        <v>0</v>
      </c>
      <c r="F54" s="116">
        <v>0</v>
      </c>
      <c r="G54" s="116">
        <v>0</v>
      </c>
      <c r="H54" s="116">
        <v>0</v>
      </c>
      <c r="I54" s="116">
        <v>0</v>
      </c>
      <c r="J54" s="116">
        <v>0</v>
      </c>
      <c r="K54" s="116">
        <v>0</v>
      </c>
      <c r="L54" s="116">
        <v>0</v>
      </c>
      <c r="M54" s="125" t="s">
        <v>41</v>
      </c>
      <c r="N54" s="125" t="s">
        <v>41</v>
      </c>
      <c r="O54" s="125" t="s">
        <v>41</v>
      </c>
      <c r="P54" s="125" t="s">
        <v>41</v>
      </c>
      <c r="Q54" s="56" t="s">
        <v>41</v>
      </c>
      <c r="R54" s="125" t="s">
        <v>41</v>
      </c>
      <c r="S54" s="97" t="s">
        <v>813</v>
      </c>
      <c r="Y54" s="99">
        <v>0</v>
      </c>
      <c r="Z54" s="99">
        <v>0</v>
      </c>
      <c r="AA54" s="99">
        <v>0</v>
      </c>
      <c r="AB54" s="99">
        <v>0</v>
      </c>
      <c r="AG54" s="99">
        <v>0</v>
      </c>
      <c r="AH54" s="99">
        <v>0</v>
      </c>
      <c r="AI54" s="99">
        <v>0</v>
      </c>
      <c r="AJ54" s="99">
        <v>0</v>
      </c>
    </row>
    <row r="55" spans="2:36" x14ac:dyDescent="0.15">
      <c r="B55" s="123" t="s">
        <v>276</v>
      </c>
      <c r="C55" s="123" t="s">
        <v>760</v>
      </c>
      <c r="D55" s="124" t="s">
        <v>722</v>
      </c>
      <c r="E55" s="116">
        <v>453</v>
      </c>
      <c r="F55" s="116">
        <v>0</v>
      </c>
      <c r="G55" s="116">
        <v>0</v>
      </c>
      <c r="H55" s="116">
        <v>453</v>
      </c>
      <c r="I55" s="116">
        <v>82</v>
      </c>
      <c r="J55" s="116">
        <v>0</v>
      </c>
      <c r="K55" s="116">
        <v>0</v>
      </c>
      <c r="L55" s="116">
        <v>82</v>
      </c>
      <c r="M55" s="125">
        <v>0.81898454746136862</v>
      </c>
      <c r="N55" s="125">
        <v>0.81898454746136862</v>
      </c>
      <c r="O55" s="125" t="s">
        <v>41</v>
      </c>
      <c r="P55" s="125" t="s">
        <v>41</v>
      </c>
      <c r="Q55" s="56">
        <v>0.78094331331477951</v>
      </c>
      <c r="R55" s="125">
        <v>0.78216488268235629</v>
      </c>
      <c r="S55" s="97" t="s">
        <v>111</v>
      </c>
      <c r="Y55" s="99">
        <v>371</v>
      </c>
      <c r="Z55" s="99">
        <v>0</v>
      </c>
      <c r="AA55" s="99">
        <v>0</v>
      </c>
      <c r="AB55" s="99">
        <v>371</v>
      </c>
      <c r="AG55" s="99">
        <v>10663</v>
      </c>
      <c r="AH55" s="99">
        <v>11034</v>
      </c>
      <c r="AI55" s="99">
        <v>2991</v>
      </c>
      <c r="AJ55" s="99">
        <v>3073</v>
      </c>
    </row>
    <row r="56" spans="2:36" x14ac:dyDescent="0.15">
      <c r="B56" s="123" t="s">
        <v>222</v>
      </c>
      <c r="C56" s="123" t="s">
        <v>760</v>
      </c>
      <c r="D56" s="124" t="s">
        <v>223</v>
      </c>
      <c r="E56" s="116">
        <v>0</v>
      </c>
      <c r="F56" s="116">
        <v>0</v>
      </c>
      <c r="G56" s="116">
        <v>0</v>
      </c>
      <c r="H56" s="116">
        <v>0</v>
      </c>
      <c r="I56" s="116">
        <v>0</v>
      </c>
      <c r="J56" s="116">
        <v>0</v>
      </c>
      <c r="K56" s="116">
        <v>0</v>
      </c>
      <c r="L56" s="116">
        <v>0</v>
      </c>
      <c r="M56" s="125" t="s">
        <v>41</v>
      </c>
      <c r="N56" s="125" t="s">
        <v>41</v>
      </c>
      <c r="O56" s="125" t="s">
        <v>41</v>
      </c>
      <c r="P56" s="125" t="s">
        <v>41</v>
      </c>
      <c r="Q56" s="56">
        <v>0.81852027883396705</v>
      </c>
      <c r="R56" s="125">
        <v>0.81852027883396705</v>
      </c>
      <c r="S56" s="97" t="s">
        <v>813</v>
      </c>
      <c r="Y56" s="99">
        <v>0</v>
      </c>
      <c r="Z56" s="99">
        <v>0</v>
      </c>
      <c r="AA56" s="99">
        <v>0</v>
      </c>
      <c r="AB56" s="99">
        <v>0</v>
      </c>
      <c r="AG56" s="99">
        <v>10333</v>
      </c>
      <c r="AH56" s="99">
        <v>10333</v>
      </c>
      <c r="AI56" s="99">
        <v>2291</v>
      </c>
      <c r="AJ56" s="99">
        <v>2291</v>
      </c>
    </row>
    <row r="57" spans="2:36" x14ac:dyDescent="0.15">
      <c r="B57" s="123" t="s">
        <v>188</v>
      </c>
      <c r="C57" s="123" t="s">
        <v>760</v>
      </c>
      <c r="D57" s="124" t="s">
        <v>189</v>
      </c>
      <c r="E57" s="116">
        <v>478</v>
      </c>
      <c r="F57" s="116">
        <v>0</v>
      </c>
      <c r="G57" s="116">
        <v>0</v>
      </c>
      <c r="H57" s="116">
        <v>478</v>
      </c>
      <c r="I57" s="116">
        <v>0</v>
      </c>
      <c r="J57" s="116">
        <v>0</v>
      </c>
      <c r="K57" s="116">
        <v>0</v>
      </c>
      <c r="L57" s="116">
        <v>0</v>
      </c>
      <c r="M57" s="125">
        <v>1</v>
      </c>
      <c r="N57" s="125">
        <v>1</v>
      </c>
      <c r="O57" s="125" t="s">
        <v>41</v>
      </c>
      <c r="P57" s="125" t="s">
        <v>41</v>
      </c>
      <c r="Q57" s="56">
        <v>0.73799745078600765</v>
      </c>
      <c r="R57" s="125">
        <v>0.74657534246575341</v>
      </c>
      <c r="S57" s="97" t="s">
        <v>813</v>
      </c>
      <c r="Y57" s="99">
        <v>478</v>
      </c>
      <c r="Z57" s="99">
        <v>0</v>
      </c>
      <c r="AA57" s="99">
        <v>0</v>
      </c>
      <c r="AB57" s="99">
        <v>478</v>
      </c>
      <c r="AG57" s="99">
        <v>10422</v>
      </c>
      <c r="AH57" s="99">
        <v>10900</v>
      </c>
      <c r="AI57" s="99">
        <v>3700</v>
      </c>
      <c r="AJ57" s="99">
        <v>3700</v>
      </c>
    </row>
    <row r="58" spans="2:36" x14ac:dyDescent="0.15">
      <c r="B58" s="123" t="s">
        <v>185</v>
      </c>
      <c r="C58" s="123" t="s">
        <v>760</v>
      </c>
      <c r="D58" s="124" t="s">
        <v>723</v>
      </c>
      <c r="E58" s="116">
        <v>0</v>
      </c>
      <c r="F58" s="116">
        <v>0</v>
      </c>
      <c r="G58" s="116">
        <v>0</v>
      </c>
      <c r="H58" s="116">
        <v>0</v>
      </c>
      <c r="I58" s="116">
        <v>0</v>
      </c>
      <c r="J58" s="116">
        <v>0</v>
      </c>
      <c r="K58" s="116">
        <v>0</v>
      </c>
      <c r="L58" s="116">
        <v>0</v>
      </c>
      <c r="M58" s="125" t="s">
        <v>41</v>
      </c>
      <c r="N58" s="125" t="s">
        <v>41</v>
      </c>
      <c r="O58" s="125" t="s">
        <v>41</v>
      </c>
      <c r="P58" s="125" t="s">
        <v>41</v>
      </c>
      <c r="Q58" s="56">
        <v>0.72146165723108591</v>
      </c>
      <c r="R58" s="125">
        <v>0.72146165723108591</v>
      </c>
      <c r="S58" s="97" t="s">
        <v>813</v>
      </c>
      <c r="Y58" s="99">
        <v>0</v>
      </c>
      <c r="Z58" s="99">
        <v>0</v>
      </c>
      <c r="AA58" s="99">
        <v>0</v>
      </c>
      <c r="AB58" s="99">
        <v>0</v>
      </c>
      <c r="AG58" s="99">
        <v>7009</v>
      </c>
      <c r="AH58" s="99">
        <v>7009</v>
      </c>
      <c r="AI58" s="99">
        <v>2706</v>
      </c>
      <c r="AJ58" s="99">
        <v>2706</v>
      </c>
    </row>
    <row r="59" spans="2:36" x14ac:dyDescent="0.15">
      <c r="B59" s="123" t="s">
        <v>295</v>
      </c>
      <c r="C59" s="123" t="s">
        <v>872</v>
      </c>
      <c r="D59" s="124" t="s">
        <v>724</v>
      </c>
      <c r="E59" s="116">
        <v>0</v>
      </c>
      <c r="F59" s="116">
        <v>0</v>
      </c>
      <c r="G59" s="116">
        <v>0</v>
      </c>
      <c r="H59" s="116">
        <v>0</v>
      </c>
      <c r="I59" s="116">
        <v>0</v>
      </c>
      <c r="J59" s="116">
        <v>0</v>
      </c>
      <c r="K59" s="116">
        <v>0</v>
      </c>
      <c r="L59" s="116">
        <v>0</v>
      </c>
      <c r="M59" s="125" t="s">
        <v>41</v>
      </c>
      <c r="N59" s="125" t="s">
        <v>41</v>
      </c>
      <c r="O59" s="125" t="s">
        <v>41</v>
      </c>
      <c r="P59" s="125" t="s">
        <v>41</v>
      </c>
      <c r="Q59" s="56">
        <v>0.78246470280634473</v>
      </c>
      <c r="R59" s="125">
        <v>0.78246470280634473</v>
      </c>
      <c r="S59" s="97" t="s">
        <v>47</v>
      </c>
      <c r="Y59" s="99">
        <v>0</v>
      </c>
      <c r="Z59" s="99">
        <v>0</v>
      </c>
      <c r="AA59" s="99">
        <v>0</v>
      </c>
      <c r="AB59" s="99">
        <v>0</v>
      </c>
      <c r="AG59" s="99">
        <v>4489</v>
      </c>
      <c r="AH59" s="99">
        <v>4489</v>
      </c>
      <c r="AI59" s="99">
        <v>1248</v>
      </c>
      <c r="AJ59" s="99">
        <v>1248</v>
      </c>
    </row>
    <row r="60" spans="2:36" x14ac:dyDescent="0.15">
      <c r="B60" s="123" t="s">
        <v>330</v>
      </c>
      <c r="C60" s="123" t="s">
        <v>872</v>
      </c>
      <c r="D60" s="124" t="s">
        <v>331</v>
      </c>
      <c r="E60" s="116">
        <v>0</v>
      </c>
      <c r="F60" s="116">
        <v>0</v>
      </c>
      <c r="G60" s="116">
        <v>0</v>
      </c>
      <c r="H60" s="116">
        <v>0</v>
      </c>
      <c r="I60" s="116">
        <v>0</v>
      </c>
      <c r="J60" s="116">
        <v>0</v>
      </c>
      <c r="K60" s="116">
        <v>0</v>
      </c>
      <c r="L60" s="116">
        <v>0</v>
      </c>
      <c r="M60" s="125" t="s">
        <v>41</v>
      </c>
      <c r="N60" s="125" t="s">
        <v>41</v>
      </c>
      <c r="O60" s="125" t="s">
        <v>41</v>
      </c>
      <c r="P60" s="125" t="s">
        <v>41</v>
      </c>
      <c r="Q60" s="56">
        <v>0.71775392237819979</v>
      </c>
      <c r="R60" s="125">
        <v>0.71775392237819979</v>
      </c>
      <c r="S60" s="97" t="s">
        <v>85</v>
      </c>
      <c r="Y60" s="99">
        <v>0</v>
      </c>
      <c r="Z60" s="99">
        <v>0</v>
      </c>
      <c r="AA60" s="99">
        <v>0</v>
      </c>
      <c r="AB60" s="99">
        <v>0</v>
      </c>
      <c r="AG60" s="99">
        <v>8692</v>
      </c>
      <c r="AH60" s="99">
        <v>8692</v>
      </c>
      <c r="AI60" s="99">
        <v>3418</v>
      </c>
      <c r="AJ60" s="99">
        <v>3418</v>
      </c>
    </row>
    <row r="61" spans="2:36" x14ac:dyDescent="0.15">
      <c r="B61" s="123" t="s">
        <v>307</v>
      </c>
      <c r="C61" s="123" t="s">
        <v>872</v>
      </c>
      <c r="D61" s="124" t="s">
        <v>863</v>
      </c>
      <c r="E61" s="116">
        <v>0</v>
      </c>
      <c r="F61" s="116">
        <v>0</v>
      </c>
      <c r="G61" s="116">
        <v>0</v>
      </c>
      <c r="H61" s="116">
        <v>0</v>
      </c>
      <c r="I61" s="116">
        <v>0</v>
      </c>
      <c r="J61" s="116">
        <v>0</v>
      </c>
      <c r="K61" s="116">
        <v>0</v>
      </c>
      <c r="L61" s="116">
        <v>0</v>
      </c>
      <c r="M61" s="125" t="s">
        <v>41</v>
      </c>
      <c r="N61" s="125" t="s">
        <v>41</v>
      </c>
      <c r="O61" s="125" t="s">
        <v>41</v>
      </c>
      <c r="P61" s="125" t="s">
        <v>41</v>
      </c>
      <c r="Q61" s="56" t="s">
        <v>41</v>
      </c>
      <c r="R61" s="125" t="s">
        <v>41</v>
      </c>
      <c r="S61" s="97" t="s">
        <v>59</v>
      </c>
      <c r="Y61" s="99">
        <v>0</v>
      </c>
      <c r="Z61" s="99">
        <v>0</v>
      </c>
      <c r="AA61" s="99">
        <v>0</v>
      </c>
      <c r="AB61" s="99">
        <v>0</v>
      </c>
      <c r="AG61" s="99">
        <v>0</v>
      </c>
      <c r="AH61" s="99">
        <v>0</v>
      </c>
      <c r="AI61" s="99">
        <v>0</v>
      </c>
      <c r="AJ61" s="99">
        <v>0</v>
      </c>
    </row>
    <row r="62" spans="2:36" x14ac:dyDescent="0.15">
      <c r="B62" s="123" t="s">
        <v>334</v>
      </c>
      <c r="C62" s="123" t="s">
        <v>872</v>
      </c>
      <c r="D62" s="124" t="s">
        <v>335</v>
      </c>
      <c r="E62" s="116">
        <v>0</v>
      </c>
      <c r="F62" s="116">
        <v>0</v>
      </c>
      <c r="G62" s="116">
        <v>1426</v>
      </c>
      <c r="H62" s="116">
        <v>1426</v>
      </c>
      <c r="I62" s="116">
        <v>0</v>
      </c>
      <c r="J62" s="116">
        <v>0</v>
      </c>
      <c r="K62" s="116">
        <v>19</v>
      </c>
      <c r="L62" s="116">
        <v>19</v>
      </c>
      <c r="M62" s="125">
        <v>0.98667601683029449</v>
      </c>
      <c r="N62" s="125" t="s">
        <v>41</v>
      </c>
      <c r="O62" s="125" t="s">
        <v>41</v>
      </c>
      <c r="P62" s="125">
        <v>0.98667601683029449</v>
      </c>
      <c r="Q62" s="56">
        <v>0.9305679452869462</v>
      </c>
      <c r="R62" s="125">
        <v>0.94038272816486757</v>
      </c>
      <c r="S62" s="97" t="s">
        <v>85</v>
      </c>
      <c r="Y62" s="99">
        <v>0</v>
      </c>
      <c r="Z62" s="99">
        <v>0</v>
      </c>
      <c r="AA62" s="99">
        <v>1407</v>
      </c>
      <c r="AB62" s="99">
        <v>1407</v>
      </c>
      <c r="AG62" s="99">
        <v>6259</v>
      </c>
      <c r="AH62" s="99">
        <v>7666</v>
      </c>
      <c r="AI62" s="99">
        <v>467</v>
      </c>
      <c r="AJ62" s="99">
        <v>486</v>
      </c>
    </row>
    <row r="63" spans="2:36" x14ac:dyDescent="0.15">
      <c r="B63" s="123" t="s">
        <v>337</v>
      </c>
      <c r="C63" s="123" t="s">
        <v>872</v>
      </c>
      <c r="D63" s="124" t="s">
        <v>815</v>
      </c>
      <c r="E63" s="116">
        <v>0</v>
      </c>
      <c r="F63" s="116">
        <v>0</v>
      </c>
      <c r="G63" s="116">
        <v>0</v>
      </c>
      <c r="H63" s="116">
        <v>0</v>
      </c>
      <c r="I63" s="116">
        <v>0</v>
      </c>
      <c r="J63" s="116">
        <v>0</v>
      </c>
      <c r="K63" s="116">
        <v>0</v>
      </c>
      <c r="L63" s="116">
        <v>0</v>
      </c>
      <c r="M63" s="125" t="s">
        <v>41</v>
      </c>
      <c r="N63" s="125" t="s">
        <v>41</v>
      </c>
      <c r="O63" s="125" t="s">
        <v>41</v>
      </c>
      <c r="P63" s="125" t="s">
        <v>41</v>
      </c>
      <c r="Q63" s="56">
        <v>0.99947589098532497</v>
      </c>
      <c r="R63" s="125">
        <v>0.99947589098532497</v>
      </c>
      <c r="S63" s="97" t="s">
        <v>85</v>
      </c>
      <c r="Y63" s="99">
        <v>0</v>
      </c>
      <c r="Z63" s="99">
        <v>0</v>
      </c>
      <c r="AA63" s="99">
        <v>0</v>
      </c>
      <c r="AB63" s="99">
        <v>0</v>
      </c>
      <c r="AG63" s="99">
        <v>1907</v>
      </c>
      <c r="AH63" s="99">
        <v>1907</v>
      </c>
      <c r="AI63" s="99">
        <v>1</v>
      </c>
      <c r="AJ63" s="99">
        <v>1</v>
      </c>
    </row>
    <row r="64" spans="2:36" x14ac:dyDescent="0.15">
      <c r="B64" s="123" t="s">
        <v>808</v>
      </c>
      <c r="C64" s="123" t="s">
        <v>872</v>
      </c>
      <c r="D64" s="124" t="s">
        <v>806</v>
      </c>
      <c r="E64" s="116">
        <v>0</v>
      </c>
      <c r="F64" s="116">
        <v>0</v>
      </c>
      <c r="G64" s="116">
        <v>317</v>
      </c>
      <c r="H64" s="116">
        <v>317</v>
      </c>
      <c r="I64" s="116">
        <v>0</v>
      </c>
      <c r="J64" s="116">
        <v>0</v>
      </c>
      <c r="K64" s="116">
        <v>0</v>
      </c>
      <c r="L64" s="116">
        <v>0</v>
      </c>
      <c r="M64" s="125">
        <v>1</v>
      </c>
      <c r="N64" s="125" t="s">
        <v>41</v>
      </c>
      <c r="O64" s="125" t="s">
        <v>41</v>
      </c>
      <c r="P64" s="125">
        <v>1</v>
      </c>
      <c r="Q64" s="56" t="s">
        <v>41</v>
      </c>
      <c r="R64" s="125">
        <v>1</v>
      </c>
      <c r="S64" s="97" t="s">
        <v>89</v>
      </c>
      <c r="Y64" s="99">
        <v>0</v>
      </c>
      <c r="Z64" s="99">
        <v>0</v>
      </c>
      <c r="AA64" s="99">
        <v>317</v>
      </c>
      <c r="AB64" s="99">
        <v>317</v>
      </c>
      <c r="AG64" s="99">
        <v>0</v>
      </c>
      <c r="AH64" s="99">
        <v>317</v>
      </c>
      <c r="AI64" s="99">
        <v>0</v>
      </c>
      <c r="AJ64" s="99">
        <v>0</v>
      </c>
    </row>
    <row r="65" spans="2:36" x14ac:dyDescent="0.15">
      <c r="B65" s="123" t="s">
        <v>309</v>
      </c>
      <c r="C65" s="123" t="s">
        <v>872</v>
      </c>
      <c r="D65" s="124" t="s">
        <v>310</v>
      </c>
      <c r="E65" s="116">
        <v>0</v>
      </c>
      <c r="F65" s="116">
        <v>0</v>
      </c>
      <c r="G65" s="116">
        <v>0</v>
      </c>
      <c r="H65" s="116">
        <v>0</v>
      </c>
      <c r="I65" s="116">
        <v>0</v>
      </c>
      <c r="J65" s="116">
        <v>0</v>
      </c>
      <c r="K65" s="116">
        <v>0</v>
      </c>
      <c r="L65" s="116">
        <v>0</v>
      </c>
      <c r="M65" s="125" t="s">
        <v>41</v>
      </c>
      <c r="N65" s="125" t="s">
        <v>41</v>
      </c>
      <c r="O65" s="125" t="s">
        <v>41</v>
      </c>
      <c r="P65" s="125" t="s">
        <v>41</v>
      </c>
      <c r="Q65" s="56">
        <v>0.86726039016115353</v>
      </c>
      <c r="R65" s="125">
        <v>0.86726039016115353</v>
      </c>
      <c r="S65" s="97" t="s">
        <v>59</v>
      </c>
      <c r="Y65" s="99">
        <v>0</v>
      </c>
      <c r="Z65" s="99">
        <v>0</v>
      </c>
      <c r="AA65" s="99">
        <v>0</v>
      </c>
      <c r="AB65" s="99">
        <v>0</v>
      </c>
      <c r="AG65" s="99">
        <v>8180</v>
      </c>
      <c r="AH65" s="99">
        <v>8180</v>
      </c>
      <c r="AI65" s="99">
        <v>1252</v>
      </c>
      <c r="AJ65" s="99">
        <v>1252</v>
      </c>
    </row>
    <row r="66" spans="2:36" x14ac:dyDescent="0.15">
      <c r="B66" s="123" t="s">
        <v>376</v>
      </c>
      <c r="C66" s="123" t="s">
        <v>872</v>
      </c>
      <c r="D66" s="124" t="s">
        <v>377</v>
      </c>
      <c r="E66" s="116">
        <v>0</v>
      </c>
      <c r="F66" s="116">
        <v>0</v>
      </c>
      <c r="G66" s="116">
        <v>0</v>
      </c>
      <c r="H66" s="116">
        <v>0</v>
      </c>
      <c r="I66" s="116">
        <v>0</v>
      </c>
      <c r="J66" s="116">
        <v>0</v>
      </c>
      <c r="K66" s="116">
        <v>0</v>
      </c>
      <c r="L66" s="116">
        <v>0</v>
      </c>
      <c r="M66" s="125" t="s">
        <v>41</v>
      </c>
      <c r="N66" s="125" t="s">
        <v>41</v>
      </c>
      <c r="O66" s="125" t="s">
        <v>41</v>
      </c>
      <c r="P66" s="125" t="s">
        <v>41</v>
      </c>
      <c r="Q66" s="56">
        <v>0.78204359128174361</v>
      </c>
      <c r="R66" s="125">
        <v>0.78204359128174361</v>
      </c>
      <c r="S66" s="97" t="s">
        <v>101</v>
      </c>
      <c r="Y66" s="99">
        <v>0</v>
      </c>
      <c r="Z66" s="99">
        <v>0</v>
      </c>
      <c r="AA66" s="99">
        <v>0</v>
      </c>
      <c r="AB66" s="99">
        <v>0</v>
      </c>
      <c r="AG66" s="99">
        <v>15644</v>
      </c>
      <c r="AH66" s="99">
        <v>15644</v>
      </c>
      <c r="AI66" s="99">
        <v>4360</v>
      </c>
      <c r="AJ66" s="99">
        <v>4360</v>
      </c>
    </row>
    <row r="67" spans="2:36" x14ac:dyDescent="0.15">
      <c r="B67" s="123" t="s">
        <v>339</v>
      </c>
      <c r="C67" s="123" t="s">
        <v>872</v>
      </c>
      <c r="D67" s="124" t="s">
        <v>340</v>
      </c>
      <c r="E67" s="116">
        <v>0</v>
      </c>
      <c r="F67" s="116">
        <v>0</v>
      </c>
      <c r="G67" s="116">
        <v>0</v>
      </c>
      <c r="H67" s="116">
        <v>0</v>
      </c>
      <c r="I67" s="116">
        <v>0</v>
      </c>
      <c r="J67" s="116">
        <v>0</v>
      </c>
      <c r="K67" s="116">
        <v>0</v>
      </c>
      <c r="L67" s="116">
        <v>0</v>
      </c>
      <c r="M67" s="125" t="s">
        <v>41</v>
      </c>
      <c r="N67" s="125" t="s">
        <v>41</v>
      </c>
      <c r="O67" s="125" t="s">
        <v>41</v>
      </c>
      <c r="P67" s="125" t="s">
        <v>41</v>
      </c>
      <c r="Q67" s="56">
        <v>1</v>
      </c>
      <c r="R67" s="125">
        <v>1</v>
      </c>
      <c r="S67" s="97" t="s">
        <v>89</v>
      </c>
      <c r="Y67" s="99">
        <v>0</v>
      </c>
      <c r="Z67" s="99">
        <v>0</v>
      </c>
      <c r="AA67" s="99">
        <v>0</v>
      </c>
      <c r="AB67" s="99">
        <v>0</v>
      </c>
      <c r="AG67" s="99">
        <v>384</v>
      </c>
      <c r="AH67" s="99">
        <v>384</v>
      </c>
      <c r="AI67" s="99">
        <v>0</v>
      </c>
      <c r="AJ67" s="99">
        <v>0</v>
      </c>
    </row>
    <row r="68" spans="2:36" x14ac:dyDescent="0.15">
      <c r="B68" s="123" t="s">
        <v>358</v>
      </c>
      <c r="C68" s="123" t="s">
        <v>872</v>
      </c>
      <c r="D68" s="124" t="s">
        <v>359</v>
      </c>
      <c r="E68" s="116">
        <v>0</v>
      </c>
      <c r="F68" s="116">
        <v>0</v>
      </c>
      <c r="G68" s="116">
        <v>0</v>
      </c>
      <c r="H68" s="116">
        <v>0</v>
      </c>
      <c r="I68" s="116">
        <v>0</v>
      </c>
      <c r="J68" s="116">
        <v>0</v>
      </c>
      <c r="K68" s="116">
        <v>0</v>
      </c>
      <c r="L68" s="116">
        <v>0</v>
      </c>
      <c r="M68" s="125" t="s">
        <v>41</v>
      </c>
      <c r="N68" s="125" t="s">
        <v>41</v>
      </c>
      <c r="O68" s="125" t="s">
        <v>41</v>
      </c>
      <c r="P68" s="125" t="s">
        <v>41</v>
      </c>
      <c r="Q68" s="56">
        <v>0.97557721908671113</v>
      </c>
      <c r="R68" s="125">
        <v>0.97557721908671113</v>
      </c>
      <c r="S68" s="97" t="s">
        <v>91</v>
      </c>
      <c r="Y68" s="99">
        <v>0</v>
      </c>
      <c r="Z68" s="99">
        <v>0</v>
      </c>
      <c r="AA68" s="99">
        <v>0</v>
      </c>
      <c r="AB68" s="99">
        <v>0</v>
      </c>
      <c r="AG68" s="99">
        <v>9507</v>
      </c>
      <c r="AH68" s="99">
        <v>9507</v>
      </c>
      <c r="AI68" s="99">
        <v>238</v>
      </c>
      <c r="AJ68" s="99">
        <v>238</v>
      </c>
    </row>
    <row r="69" spans="2:36" x14ac:dyDescent="0.15">
      <c r="B69" s="123" t="s">
        <v>336</v>
      </c>
      <c r="C69" s="123" t="s">
        <v>872</v>
      </c>
      <c r="D69" s="124" t="s">
        <v>816</v>
      </c>
      <c r="E69" s="116">
        <v>0</v>
      </c>
      <c r="F69" s="116">
        <v>0</v>
      </c>
      <c r="G69" s="116">
        <v>2427</v>
      </c>
      <c r="H69" s="116">
        <v>2427</v>
      </c>
      <c r="I69" s="116">
        <v>0</v>
      </c>
      <c r="J69" s="116">
        <v>0</v>
      </c>
      <c r="K69" s="116">
        <v>0</v>
      </c>
      <c r="L69" s="116">
        <v>0</v>
      </c>
      <c r="M69" s="125">
        <v>1</v>
      </c>
      <c r="N69" s="125" t="s">
        <v>41</v>
      </c>
      <c r="O69" s="125" t="s">
        <v>41</v>
      </c>
      <c r="P69" s="125">
        <v>1</v>
      </c>
      <c r="Q69" s="56">
        <v>1</v>
      </c>
      <c r="R69" s="125">
        <v>1</v>
      </c>
      <c r="S69" s="97" t="s">
        <v>89</v>
      </c>
      <c r="Y69" s="99">
        <v>0</v>
      </c>
      <c r="Z69" s="99">
        <v>0</v>
      </c>
      <c r="AA69" s="99">
        <v>2427</v>
      </c>
      <c r="AB69" s="99">
        <v>2427</v>
      </c>
      <c r="AG69" s="99">
        <v>249</v>
      </c>
      <c r="AH69" s="99">
        <v>2676</v>
      </c>
      <c r="AI69" s="99">
        <v>0</v>
      </c>
      <c r="AJ69" s="99">
        <v>0</v>
      </c>
    </row>
    <row r="70" spans="2:36" x14ac:dyDescent="0.15">
      <c r="B70" s="123" t="s">
        <v>341</v>
      </c>
      <c r="C70" s="123" t="s">
        <v>872</v>
      </c>
      <c r="D70" s="124" t="s">
        <v>342</v>
      </c>
      <c r="E70" s="116">
        <v>0</v>
      </c>
      <c r="F70" s="116">
        <v>0</v>
      </c>
      <c r="G70" s="116">
        <v>1958</v>
      </c>
      <c r="H70" s="116">
        <v>1958</v>
      </c>
      <c r="I70" s="116">
        <v>0</v>
      </c>
      <c r="J70" s="116">
        <v>0</v>
      </c>
      <c r="K70" s="116">
        <v>19</v>
      </c>
      <c r="L70" s="116">
        <v>19</v>
      </c>
      <c r="M70" s="125">
        <v>0.99029622063329925</v>
      </c>
      <c r="N70" s="125" t="s">
        <v>41</v>
      </c>
      <c r="O70" s="125" t="s">
        <v>41</v>
      </c>
      <c r="P70" s="125">
        <v>0.99029622063329925</v>
      </c>
      <c r="Q70" s="56">
        <v>0.99439633214467649</v>
      </c>
      <c r="R70" s="125">
        <v>0.99337326366764367</v>
      </c>
      <c r="S70" s="97" t="s">
        <v>89</v>
      </c>
      <c r="Y70" s="99">
        <v>0</v>
      </c>
      <c r="Z70" s="99">
        <v>0</v>
      </c>
      <c r="AA70" s="99">
        <v>1939</v>
      </c>
      <c r="AB70" s="99">
        <v>1939</v>
      </c>
      <c r="AG70" s="99">
        <v>5856</v>
      </c>
      <c r="AH70" s="99">
        <v>7795</v>
      </c>
      <c r="AI70" s="99">
        <v>33</v>
      </c>
      <c r="AJ70" s="99">
        <v>52</v>
      </c>
    </row>
    <row r="71" spans="2:36" x14ac:dyDescent="0.15">
      <c r="B71" s="123" t="s">
        <v>805</v>
      </c>
      <c r="C71" s="123" t="s">
        <v>872</v>
      </c>
      <c r="D71" s="124" t="s">
        <v>807</v>
      </c>
      <c r="E71" s="116">
        <v>0</v>
      </c>
      <c r="F71" s="116">
        <v>0</v>
      </c>
      <c r="G71" s="116">
        <v>139</v>
      </c>
      <c r="H71" s="116">
        <v>139</v>
      </c>
      <c r="I71" s="116">
        <v>0</v>
      </c>
      <c r="J71" s="116">
        <v>0</v>
      </c>
      <c r="K71" s="116">
        <v>0</v>
      </c>
      <c r="L71" s="116">
        <v>0</v>
      </c>
      <c r="M71" s="125">
        <v>1</v>
      </c>
      <c r="N71" s="125" t="s">
        <v>41</v>
      </c>
      <c r="O71" s="125" t="s">
        <v>41</v>
      </c>
      <c r="P71" s="125">
        <v>1</v>
      </c>
      <c r="Q71" s="56" t="s">
        <v>41</v>
      </c>
      <c r="R71" s="125">
        <v>1</v>
      </c>
      <c r="S71" s="97" t="s">
        <v>89</v>
      </c>
      <c r="Y71" s="99">
        <v>0</v>
      </c>
      <c r="Z71" s="99">
        <v>0</v>
      </c>
      <c r="AA71" s="99">
        <v>139</v>
      </c>
      <c r="AB71" s="99">
        <v>139</v>
      </c>
      <c r="AG71" s="99">
        <v>0</v>
      </c>
      <c r="AH71" s="99">
        <v>139</v>
      </c>
      <c r="AI71" s="99">
        <v>0</v>
      </c>
      <c r="AJ71" s="99">
        <v>0</v>
      </c>
    </row>
    <row r="72" spans="2:36" x14ac:dyDescent="0.15">
      <c r="B72" s="123" t="s">
        <v>345</v>
      </c>
      <c r="C72" s="123" t="s">
        <v>872</v>
      </c>
      <c r="D72" s="124" t="s">
        <v>817</v>
      </c>
      <c r="E72" s="116">
        <v>0</v>
      </c>
      <c r="F72" s="116">
        <v>0</v>
      </c>
      <c r="G72" s="116">
        <v>298</v>
      </c>
      <c r="H72" s="116">
        <v>298</v>
      </c>
      <c r="I72" s="116">
        <v>0</v>
      </c>
      <c r="J72" s="116">
        <v>0</v>
      </c>
      <c r="K72" s="116">
        <v>0</v>
      </c>
      <c r="L72" s="116">
        <v>0</v>
      </c>
      <c r="M72" s="125">
        <v>1</v>
      </c>
      <c r="N72" s="125" t="s">
        <v>41</v>
      </c>
      <c r="O72" s="125" t="s">
        <v>41</v>
      </c>
      <c r="P72" s="125">
        <v>1</v>
      </c>
      <c r="Q72" s="56" t="s">
        <v>41</v>
      </c>
      <c r="R72" s="125">
        <v>1</v>
      </c>
      <c r="S72" s="97" t="s">
        <v>89</v>
      </c>
      <c r="Y72" s="99">
        <v>0</v>
      </c>
      <c r="Z72" s="99">
        <v>0</v>
      </c>
      <c r="AA72" s="99">
        <v>298</v>
      </c>
      <c r="AB72" s="99">
        <v>298</v>
      </c>
      <c r="AG72" s="99">
        <v>0</v>
      </c>
      <c r="AH72" s="99">
        <v>298</v>
      </c>
      <c r="AI72" s="99">
        <v>0</v>
      </c>
      <c r="AJ72" s="99">
        <v>0</v>
      </c>
    </row>
    <row r="73" spans="2:36" x14ac:dyDescent="0.15">
      <c r="B73" s="123" t="s">
        <v>343</v>
      </c>
      <c r="C73" s="123" t="s">
        <v>872</v>
      </c>
      <c r="D73" s="124" t="s">
        <v>344</v>
      </c>
      <c r="E73" s="116">
        <v>0</v>
      </c>
      <c r="F73" s="116">
        <v>0</v>
      </c>
      <c r="G73" s="116">
        <v>0</v>
      </c>
      <c r="H73" s="116">
        <v>0</v>
      </c>
      <c r="I73" s="116">
        <v>0</v>
      </c>
      <c r="J73" s="116">
        <v>0</v>
      </c>
      <c r="K73" s="116">
        <v>0</v>
      </c>
      <c r="L73" s="116">
        <v>0</v>
      </c>
      <c r="M73" s="125" t="s">
        <v>41</v>
      </c>
      <c r="N73" s="125" t="s">
        <v>41</v>
      </c>
      <c r="O73" s="125" t="s">
        <v>41</v>
      </c>
      <c r="P73" s="125" t="s">
        <v>41</v>
      </c>
      <c r="Q73" s="56">
        <v>1</v>
      </c>
      <c r="R73" s="125">
        <v>1</v>
      </c>
      <c r="S73" s="97" t="s">
        <v>89</v>
      </c>
      <c r="Y73" s="99">
        <v>0</v>
      </c>
      <c r="Z73" s="99">
        <v>0</v>
      </c>
      <c r="AA73" s="99">
        <v>0</v>
      </c>
      <c r="AB73" s="99">
        <v>0</v>
      </c>
      <c r="AG73" s="99">
        <v>323</v>
      </c>
      <c r="AH73" s="99">
        <v>323</v>
      </c>
      <c r="AI73" s="99">
        <v>0</v>
      </c>
      <c r="AJ73" s="99">
        <v>0</v>
      </c>
    </row>
    <row r="74" spans="2:36" x14ac:dyDescent="0.15">
      <c r="B74" s="123" t="s">
        <v>347</v>
      </c>
      <c r="C74" s="123" t="s">
        <v>872</v>
      </c>
      <c r="D74" s="124" t="s">
        <v>818</v>
      </c>
      <c r="E74" s="116">
        <v>0</v>
      </c>
      <c r="F74" s="116">
        <v>0</v>
      </c>
      <c r="G74" s="116">
        <v>408</v>
      </c>
      <c r="H74" s="116">
        <v>408</v>
      </c>
      <c r="I74" s="116">
        <v>0</v>
      </c>
      <c r="J74" s="116">
        <v>0</v>
      </c>
      <c r="K74" s="116">
        <v>0</v>
      </c>
      <c r="L74" s="116">
        <v>0</v>
      </c>
      <c r="M74" s="125">
        <v>1</v>
      </c>
      <c r="N74" s="125" t="s">
        <v>41</v>
      </c>
      <c r="O74" s="125" t="s">
        <v>41</v>
      </c>
      <c r="P74" s="125">
        <v>1</v>
      </c>
      <c r="Q74" s="56" t="s">
        <v>41</v>
      </c>
      <c r="R74" s="125">
        <v>1</v>
      </c>
      <c r="S74" s="97" t="s">
        <v>89</v>
      </c>
      <c r="Y74" s="99">
        <v>0</v>
      </c>
      <c r="Z74" s="99">
        <v>0</v>
      </c>
      <c r="AA74" s="99">
        <v>408</v>
      </c>
      <c r="AB74" s="99">
        <v>408</v>
      </c>
      <c r="AG74" s="99">
        <v>0</v>
      </c>
      <c r="AH74" s="99">
        <v>408</v>
      </c>
      <c r="AI74" s="99">
        <v>0</v>
      </c>
      <c r="AJ74" s="99">
        <v>0</v>
      </c>
    </row>
    <row r="75" spans="2:36" x14ac:dyDescent="0.15">
      <c r="B75" s="123" t="s">
        <v>378</v>
      </c>
      <c r="C75" s="123" t="s">
        <v>872</v>
      </c>
      <c r="D75" s="124" t="s">
        <v>379</v>
      </c>
      <c r="E75" s="116">
        <v>0</v>
      </c>
      <c r="F75" s="116">
        <v>0</v>
      </c>
      <c r="G75" s="116">
        <v>0</v>
      </c>
      <c r="H75" s="116">
        <v>0</v>
      </c>
      <c r="I75" s="116">
        <v>0</v>
      </c>
      <c r="J75" s="116">
        <v>0</v>
      </c>
      <c r="K75" s="116">
        <v>0</v>
      </c>
      <c r="L75" s="116">
        <v>0</v>
      </c>
      <c r="M75" s="125" t="s">
        <v>41</v>
      </c>
      <c r="N75" s="125" t="s">
        <v>41</v>
      </c>
      <c r="O75" s="125" t="s">
        <v>41</v>
      </c>
      <c r="P75" s="125" t="s">
        <v>41</v>
      </c>
      <c r="Q75" s="56">
        <v>0.69353820248368769</v>
      </c>
      <c r="R75" s="125">
        <v>0.69353820248368769</v>
      </c>
      <c r="S75" s="97" t="s">
        <v>101</v>
      </c>
      <c r="Y75" s="99">
        <v>0</v>
      </c>
      <c r="Z75" s="99">
        <v>0</v>
      </c>
      <c r="AA75" s="99">
        <v>0</v>
      </c>
      <c r="AB75" s="99">
        <v>0</v>
      </c>
      <c r="AG75" s="99">
        <v>9885</v>
      </c>
      <c r="AH75" s="99">
        <v>9885</v>
      </c>
      <c r="AI75" s="99">
        <v>4368</v>
      </c>
      <c r="AJ75" s="99">
        <v>4368</v>
      </c>
    </row>
    <row r="76" spans="2:36" x14ac:dyDescent="0.15">
      <c r="B76" s="123" t="s">
        <v>384</v>
      </c>
      <c r="C76" s="123" t="s">
        <v>872</v>
      </c>
      <c r="D76" s="124" t="s">
        <v>385</v>
      </c>
      <c r="E76" s="116">
        <v>0</v>
      </c>
      <c r="F76" s="116">
        <v>0</v>
      </c>
      <c r="G76" s="116">
        <v>500</v>
      </c>
      <c r="H76" s="116">
        <v>500</v>
      </c>
      <c r="I76" s="116">
        <v>0</v>
      </c>
      <c r="J76" s="116">
        <v>0</v>
      </c>
      <c r="K76" s="116">
        <v>1</v>
      </c>
      <c r="L76" s="116">
        <v>1</v>
      </c>
      <c r="M76" s="125">
        <v>0.998</v>
      </c>
      <c r="N76" s="125" t="s">
        <v>41</v>
      </c>
      <c r="O76" s="125" t="s">
        <v>41</v>
      </c>
      <c r="P76" s="125">
        <v>0.998</v>
      </c>
      <c r="Q76" s="56">
        <v>0.65614125059525985</v>
      </c>
      <c r="R76" s="125">
        <v>0.66229001043202995</v>
      </c>
      <c r="S76" s="97" t="s">
        <v>103</v>
      </c>
      <c r="Y76" s="99">
        <v>0</v>
      </c>
      <c r="Z76" s="99">
        <v>0</v>
      </c>
      <c r="AA76" s="99">
        <v>499</v>
      </c>
      <c r="AB76" s="99">
        <v>499</v>
      </c>
      <c r="AG76" s="99">
        <v>17912</v>
      </c>
      <c r="AH76" s="99">
        <v>18411</v>
      </c>
      <c r="AI76" s="99">
        <v>9387</v>
      </c>
      <c r="AJ76" s="99">
        <v>9388</v>
      </c>
    </row>
    <row r="77" spans="2:36" x14ac:dyDescent="0.15">
      <c r="B77" s="123" t="s">
        <v>349</v>
      </c>
      <c r="C77" s="123" t="s">
        <v>872</v>
      </c>
      <c r="D77" s="124" t="s">
        <v>819</v>
      </c>
      <c r="E77" s="116">
        <v>0</v>
      </c>
      <c r="F77" s="116">
        <v>0</v>
      </c>
      <c r="G77" s="116">
        <v>3222</v>
      </c>
      <c r="H77" s="116">
        <v>3222</v>
      </c>
      <c r="I77" s="116">
        <v>0</v>
      </c>
      <c r="J77" s="116">
        <v>0</v>
      </c>
      <c r="K77" s="116">
        <v>1</v>
      </c>
      <c r="L77" s="116">
        <v>1</v>
      </c>
      <c r="M77" s="125">
        <v>0.99968963376784603</v>
      </c>
      <c r="N77" s="125" t="s">
        <v>41</v>
      </c>
      <c r="O77" s="125" t="s">
        <v>41</v>
      </c>
      <c r="P77" s="125">
        <v>0.99968963376784603</v>
      </c>
      <c r="Q77" s="56">
        <v>1</v>
      </c>
      <c r="R77" s="125">
        <v>0.99973924380704038</v>
      </c>
      <c r="S77" s="97" t="s">
        <v>89</v>
      </c>
      <c r="Y77" s="99">
        <v>0</v>
      </c>
      <c r="Z77" s="99">
        <v>0</v>
      </c>
      <c r="AA77" s="99">
        <v>3221</v>
      </c>
      <c r="AB77" s="99">
        <v>3221</v>
      </c>
      <c r="AG77" s="99">
        <v>613</v>
      </c>
      <c r="AH77" s="99">
        <v>3834</v>
      </c>
      <c r="AI77" s="99">
        <v>0</v>
      </c>
      <c r="AJ77" s="99">
        <v>1</v>
      </c>
    </row>
    <row r="78" spans="2:36" x14ac:dyDescent="0.15">
      <c r="B78" s="123" t="s">
        <v>353</v>
      </c>
      <c r="C78" s="123" t="s">
        <v>872</v>
      </c>
      <c r="D78" s="124" t="s">
        <v>856</v>
      </c>
      <c r="E78" s="116">
        <v>0</v>
      </c>
      <c r="F78" s="116">
        <v>0</v>
      </c>
      <c r="G78" s="116">
        <v>370</v>
      </c>
      <c r="H78" s="116">
        <v>370</v>
      </c>
      <c r="I78" s="116">
        <v>0</v>
      </c>
      <c r="J78" s="116">
        <v>0</v>
      </c>
      <c r="K78" s="116">
        <v>0</v>
      </c>
      <c r="L78" s="116">
        <v>0</v>
      </c>
      <c r="M78" s="125">
        <v>1</v>
      </c>
      <c r="N78" s="125" t="s">
        <v>41</v>
      </c>
      <c r="O78" s="125" t="s">
        <v>41</v>
      </c>
      <c r="P78" s="125">
        <v>1</v>
      </c>
      <c r="Q78" s="56">
        <v>1</v>
      </c>
      <c r="R78" s="125">
        <v>1</v>
      </c>
      <c r="S78" s="97" t="s">
        <v>89</v>
      </c>
      <c r="Y78" s="99">
        <v>0</v>
      </c>
      <c r="Z78" s="99">
        <v>0</v>
      </c>
      <c r="AA78" s="99">
        <v>370</v>
      </c>
      <c r="AB78" s="99">
        <v>370</v>
      </c>
      <c r="AG78" s="99">
        <v>253</v>
      </c>
      <c r="AH78" s="99">
        <v>623</v>
      </c>
      <c r="AI78" s="99">
        <v>0</v>
      </c>
      <c r="AJ78" s="99">
        <v>0</v>
      </c>
    </row>
    <row r="79" spans="2:36" x14ac:dyDescent="0.15">
      <c r="B79" s="123" t="s">
        <v>404</v>
      </c>
      <c r="C79" s="123" t="s">
        <v>872</v>
      </c>
      <c r="D79" s="124" t="s">
        <v>725</v>
      </c>
      <c r="E79" s="116">
        <v>361</v>
      </c>
      <c r="F79" s="116">
        <v>0</v>
      </c>
      <c r="G79" s="116">
        <v>0</v>
      </c>
      <c r="H79" s="116">
        <v>361</v>
      </c>
      <c r="I79" s="116">
        <v>150</v>
      </c>
      <c r="J79" s="116">
        <v>0</v>
      </c>
      <c r="K79" s="116">
        <v>0</v>
      </c>
      <c r="L79" s="116">
        <v>150</v>
      </c>
      <c r="M79" s="125">
        <v>0.58448753462603875</v>
      </c>
      <c r="N79" s="125">
        <v>0.58448753462603875</v>
      </c>
      <c r="O79" s="125" t="s">
        <v>41</v>
      </c>
      <c r="P79" s="125" t="s">
        <v>41</v>
      </c>
      <c r="Q79" s="56">
        <v>0.74739789964994163</v>
      </c>
      <c r="R79" s="125">
        <v>0.7446984301845222</v>
      </c>
      <c r="S79" s="97" t="s">
        <v>123</v>
      </c>
      <c r="Y79" s="99">
        <v>211</v>
      </c>
      <c r="Z79" s="99">
        <v>0</v>
      </c>
      <c r="AA79" s="99">
        <v>0</v>
      </c>
      <c r="AB79" s="99">
        <v>211</v>
      </c>
      <c r="AG79" s="99">
        <v>16013</v>
      </c>
      <c r="AH79" s="99">
        <v>16224</v>
      </c>
      <c r="AI79" s="99">
        <v>5412</v>
      </c>
      <c r="AJ79" s="99">
        <v>5562</v>
      </c>
    </row>
    <row r="80" spans="2:36" x14ac:dyDescent="0.15">
      <c r="B80" s="123" t="s">
        <v>386</v>
      </c>
      <c r="C80" s="123" t="s">
        <v>872</v>
      </c>
      <c r="D80" s="124" t="s">
        <v>387</v>
      </c>
      <c r="E80" s="116">
        <v>0</v>
      </c>
      <c r="F80" s="116">
        <v>0</v>
      </c>
      <c r="G80" s="116">
        <v>0</v>
      </c>
      <c r="H80" s="116">
        <v>0</v>
      </c>
      <c r="I80" s="116">
        <v>0</v>
      </c>
      <c r="J80" s="116">
        <v>0</v>
      </c>
      <c r="K80" s="116">
        <v>0</v>
      </c>
      <c r="L80" s="116">
        <v>0</v>
      </c>
      <c r="M80" s="125" t="s">
        <v>41</v>
      </c>
      <c r="N80" s="125" t="s">
        <v>41</v>
      </c>
      <c r="O80" s="125" t="s">
        <v>41</v>
      </c>
      <c r="P80" s="125" t="s">
        <v>41</v>
      </c>
      <c r="Q80" s="56">
        <v>0.74374345245023865</v>
      </c>
      <c r="R80" s="125">
        <v>0.74374345245023865</v>
      </c>
      <c r="S80" s="97" t="s">
        <v>103</v>
      </c>
      <c r="Y80" s="99">
        <v>0</v>
      </c>
      <c r="Z80" s="99">
        <v>0</v>
      </c>
      <c r="AA80" s="99">
        <v>0</v>
      </c>
      <c r="AB80" s="99">
        <v>0</v>
      </c>
      <c r="AG80" s="99">
        <v>12779</v>
      </c>
      <c r="AH80" s="99">
        <v>12779</v>
      </c>
      <c r="AI80" s="99">
        <v>4403</v>
      </c>
      <c r="AJ80" s="99">
        <v>4403</v>
      </c>
    </row>
    <row r="81" spans="2:36" x14ac:dyDescent="0.15">
      <c r="B81" s="123" t="s">
        <v>390</v>
      </c>
      <c r="C81" s="123" t="s">
        <v>872</v>
      </c>
      <c r="D81" s="124" t="s">
        <v>391</v>
      </c>
      <c r="E81" s="116">
        <v>0</v>
      </c>
      <c r="F81" s="116">
        <v>0</v>
      </c>
      <c r="G81" s="116">
        <v>0</v>
      </c>
      <c r="H81" s="116">
        <v>0</v>
      </c>
      <c r="I81" s="116">
        <v>0</v>
      </c>
      <c r="J81" s="116">
        <v>0</v>
      </c>
      <c r="K81" s="116">
        <v>0</v>
      </c>
      <c r="L81" s="116">
        <v>0</v>
      </c>
      <c r="M81" s="125" t="s">
        <v>41</v>
      </c>
      <c r="N81" s="125" t="s">
        <v>41</v>
      </c>
      <c r="O81" s="125" t="s">
        <v>41</v>
      </c>
      <c r="P81" s="125" t="s">
        <v>41</v>
      </c>
      <c r="Q81" s="56">
        <v>0.99585176991150437</v>
      </c>
      <c r="R81" s="125">
        <v>0.99585176991150437</v>
      </c>
      <c r="S81" s="97" t="s">
        <v>107</v>
      </c>
      <c r="Y81" s="99">
        <v>0</v>
      </c>
      <c r="Z81" s="99">
        <v>0</v>
      </c>
      <c r="AA81" s="99">
        <v>0</v>
      </c>
      <c r="AB81" s="99">
        <v>0</v>
      </c>
      <c r="AG81" s="99">
        <v>3601</v>
      </c>
      <c r="AH81" s="99">
        <v>3601</v>
      </c>
      <c r="AI81" s="99">
        <v>15</v>
      </c>
      <c r="AJ81" s="99">
        <v>15</v>
      </c>
    </row>
    <row r="82" spans="2:36" x14ac:dyDescent="0.15">
      <c r="B82" s="123" t="s">
        <v>360</v>
      </c>
      <c r="C82" s="123" t="s">
        <v>872</v>
      </c>
      <c r="D82" s="124" t="s">
        <v>361</v>
      </c>
      <c r="E82" s="116">
        <v>0</v>
      </c>
      <c r="F82" s="116">
        <v>0</v>
      </c>
      <c r="G82" s="116">
        <v>0</v>
      </c>
      <c r="H82" s="116">
        <v>0</v>
      </c>
      <c r="I82" s="116">
        <v>0</v>
      </c>
      <c r="J82" s="116">
        <v>0</v>
      </c>
      <c r="K82" s="116">
        <v>0</v>
      </c>
      <c r="L82" s="116">
        <v>0</v>
      </c>
      <c r="M82" s="125" t="s">
        <v>41</v>
      </c>
      <c r="N82" s="125" t="s">
        <v>41</v>
      </c>
      <c r="O82" s="125" t="s">
        <v>41</v>
      </c>
      <c r="P82" s="125" t="s">
        <v>41</v>
      </c>
      <c r="Q82" s="56">
        <v>1</v>
      </c>
      <c r="R82" s="125">
        <v>1</v>
      </c>
      <c r="S82" s="97" t="s">
        <v>91</v>
      </c>
      <c r="Y82" s="99">
        <v>0</v>
      </c>
      <c r="Z82" s="99">
        <v>0</v>
      </c>
      <c r="AA82" s="99">
        <v>0</v>
      </c>
      <c r="AB82" s="99">
        <v>0</v>
      </c>
      <c r="AG82" s="99">
        <v>462</v>
      </c>
      <c r="AH82" s="99">
        <v>462</v>
      </c>
      <c r="AI82" s="99">
        <v>0</v>
      </c>
      <c r="AJ82" s="99">
        <v>0</v>
      </c>
    </row>
    <row r="83" spans="2:36" x14ac:dyDescent="0.15">
      <c r="B83" s="123" t="s">
        <v>313</v>
      </c>
      <c r="C83" s="123" t="s">
        <v>872</v>
      </c>
      <c r="D83" s="124" t="s">
        <v>314</v>
      </c>
      <c r="E83" s="116">
        <v>0</v>
      </c>
      <c r="F83" s="116">
        <v>0</v>
      </c>
      <c r="G83" s="116">
        <v>0</v>
      </c>
      <c r="H83" s="116">
        <v>0</v>
      </c>
      <c r="I83" s="116">
        <v>0</v>
      </c>
      <c r="J83" s="116">
        <v>0</v>
      </c>
      <c r="K83" s="116">
        <v>0</v>
      </c>
      <c r="L83" s="116">
        <v>0</v>
      </c>
      <c r="M83" s="125" t="s">
        <v>41</v>
      </c>
      <c r="N83" s="125" t="s">
        <v>41</v>
      </c>
      <c r="O83" s="125" t="s">
        <v>41</v>
      </c>
      <c r="P83" s="125" t="s">
        <v>41</v>
      </c>
      <c r="Q83" s="56">
        <v>0.69380315917375457</v>
      </c>
      <c r="R83" s="125">
        <v>0.69380315917375457</v>
      </c>
      <c r="S83" s="97" t="s">
        <v>59</v>
      </c>
      <c r="Y83" s="99">
        <v>0</v>
      </c>
      <c r="Z83" s="99">
        <v>0</v>
      </c>
      <c r="AA83" s="99">
        <v>0</v>
      </c>
      <c r="AB83" s="99">
        <v>0</v>
      </c>
      <c r="AG83" s="99">
        <v>6281</v>
      </c>
      <c r="AH83" s="99">
        <v>6281</v>
      </c>
      <c r="AI83" s="99">
        <v>2772</v>
      </c>
      <c r="AJ83" s="99">
        <v>2772</v>
      </c>
    </row>
    <row r="84" spans="2:36" x14ac:dyDescent="0.15">
      <c r="B84" s="123" t="s">
        <v>405</v>
      </c>
      <c r="C84" s="123" t="s">
        <v>872</v>
      </c>
      <c r="D84" s="124" t="s">
        <v>406</v>
      </c>
      <c r="E84" s="116">
        <v>0</v>
      </c>
      <c r="F84" s="116">
        <v>0</v>
      </c>
      <c r="G84" s="116">
        <v>480</v>
      </c>
      <c r="H84" s="116">
        <v>480</v>
      </c>
      <c r="I84" s="116">
        <v>0</v>
      </c>
      <c r="J84" s="116">
        <v>0</v>
      </c>
      <c r="K84" s="116">
        <v>0</v>
      </c>
      <c r="L84" s="116">
        <v>0</v>
      </c>
      <c r="M84" s="125">
        <v>1</v>
      </c>
      <c r="N84" s="125" t="s">
        <v>41</v>
      </c>
      <c r="O84" s="125" t="s">
        <v>41</v>
      </c>
      <c r="P84" s="125">
        <v>1</v>
      </c>
      <c r="Q84" s="56">
        <v>0.7965270684371808</v>
      </c>
      <c r="R84" s="125">
        <v>0.80296735905044514</v>
      </c>
      <c r="S84" s="97" t="s">
        <v>123</v>
      </c>
      <c r="Y84" s="99">
        <v>0</v>
      </c>
      <c r="Z84" s="99">
        <v>0</v>
      </c>
      <c r="AA84" s="99">
        <v>480</v>
      </c>
      <c r="AB84" s="99">
        <v>480</v>
      </c>
      <c r="AG84" s="99">
        <v>11697</v>
      </c>
      <c r="AH84" s="99">
        <v>12177</v>
      </c>
      <c r="AI84" s="99">
        <v>2988</v>
      </c>
      <c r="AJ84" s="99">
        <v>2988</v>
      </c>
    </row>
    <row r="85" spans="2:36" x14ac:dyDescent="0.15">
      <c r="B85" s="123" t="s">
        <v>392</v>
      </c>
      <c r="C85" s="123" t="s">
        <v>872</v>
      </c>
      <c r="D85" s="124" t="s">
        <v>821</v>
      </c>
      <c r="E85" s="116">
        <v>0</v>
      </c>
      <c r="F85" s="116">
        <v>0</v>
      </c>
      <c r="G85" s="116">
        <v>0</v>
      </c>
      <c r="H85" s="116">
        <v>0</v>
      </c>
      <c r="I85" s="116">
        <v>0</v>
      </c>
      <c r="J85" s="116">
        <v>0</v>
      </c>
      <c r="K85" s="116">
        <v>0</v>
      </c>
      <c r="L85" s="116">
        <v>0</v>
      </c>
      <c r="M85" s="125" t="s">
        <v>41</v>
      </c>
      <c r="N85" s="125" t="s">
        <v>41</v>
      </c>
      <c r="O85" s="125" t="s">
        <v>41</v>
      </c>
      <c r="P85" s="125" t="s">
        <v>41</v>
      </c>
      <c r="Q85" s="56" t="s">
        <v>41</v>
      </c>
      <c r="R85" s="125" t="s">
        <v>41</v>
      </c>
      <c r="S85" s="97" t="s">
        <v>107</v>
      </c>
      <c r="Y85" s="99">
        <v>0</v>
      </c>
      <c r="Z85" s="99">
        <v>0</v>
      </c>
      <c r="AA85" s="99">
        <v>0</v>
      </c>
      <c r="AB85" s="99">
        <v>0</v>
      </c>
      <c r="AG85" s="99">
        <v>0</v>
      </c>
      <c r="AH85" s="99">
        <v>0</v>
      </c>
      <c r="AI85" s="99">
        <v>0</v>
      </c>
      <c r="AJ85" s="99">
        <v>0</v>
      </c>
    </row>
    <row r="86" spans="2:36" x14ac:dyDescent="0.15">
      <c r="B86" s="123" t="s">
        <v>407</v>
      </c>
      <c r="C86" s="123" t="s">
        <v>872</v>
      </c>
      <c r="D86" s="124" t="s">
        <v>408</v>
      </c>
      <c r="E86" s="116">
        <v>377</v>
      </c>
      <c r="F86" s="116">
        <v>6</v>
      </c>
      <c r="G86" s="116">
        <v>620</v>
      </c>
      <c r="H86" s="116">
        <v>1003</v>
      </c>
      <c r="I86" s="116">
        <v>61</v>
      </c>
      <c r="J86" s="116">
        <v>0</v>
      </c>
      <c r="K86" s="116">
        <v>0</v>
      </c>
      <c r="L86" s="116">
        <v>61</v>
      </c>
      <c r="M86" s="125">
        <v>0.93918245264207378</v>
      </c>
      <c r="N86" s="125">
        <v>0.8381962864721485</v>
      </c>
      <c r="O86" s="125">
        <v>1</v>
      </c>
      <c r="P86" s="125">
        <v>1</v>
      </c>
      <c r="Q86" s="56">
        <v>0.79285068782006229</v>
      </c>
      <c r="R86" s="125">
        <v>0.79986616318531623</v>
      </c>
      <c r="S86" s="97" t="s">
        <v>123</v>
      </c>
      <c r="Y86" s="99">
        <v>316</v>
      </c>
      <c r="Z86" s="99">
        <v>6</v>
      </c>
      <c r="AA86" s="99">
        <v>620</v>
      </c>
      <c r="AB86" s="99">
        <v>942</v>
      </c>
      <c r="AG86" s="99">
        <v>15792</v>
      </c>
      <c r="AH86" s="99">
        <v>16734</v>
      </c>
      <c r="AI86" s="99">
        <v>4126</v>
      </c>
      <c r="AJ86" s="99">
        <v>4187</v>
      </c>
    </row>
    <row r="87" spans="2:36" x14ac:dyDescent="0.15">
      <c r="B87" s="123" t="s">
        <v>388</v>
      </c>
      <c r="C87" s="123" t="s">
        <v>872</v>
      </c>
      <c r="D87" s="124" t="s">
        <v>389</v>
      </c>
      <c r="E87" s="116">
        <v>0</v>
      </c>
      <c r="F87" s="116">
        <v>0</v>
      </c>
      <c r="G87" s="116">
        <v>0</v>
      </c>
      <c r="H87" s="116">
        <v>0</v>
      </c>
      <c r="I87" s="116">
        <v>0</v>
      </c>
      <c r="J87" s="116">
        <v>0</v>
      </c>
      <c r="K87" s="116">
        <v>0</v>
      </c>
      <c r="L87" s="116">
        <v>0</v>
      </c>
      <c r="M87" s="125" t="s">
        <v>41</v>
      </c>
      <c r="N87" s="125" t="s">
        <v>41</v>
      </c>
      <c r="O87" s="125" t="s">
        <v>41</v>
      </c>
      <c r="P87" s="125" t="s">
        <v>41</v>
      </c>
      <c r="Q87" s="56">
        <v>0.51001046389954652</v>
      </c>
      <c r="R87" s="125">
        <v>0.51001046389954652</v>
      </c>
      <c r="S87" s="97" t="s">
        <v>107</v>
      </c>
      <c r="Y87" s="99">
        <v>0</v>
      </c>
      <c r="Z87" s="99">
        <v>0</v>
      </c>
      <c r="AA87" s="99">
        <v>0</v>
      </c>
      <c r="AB87" s="99">
        <v>0</v>
      </c>
      <c r="AG87" s="99">
        <v>7311</v>
      </c>
      <c r="AH87" s="99">
        <v>7311</v>
      </c>
      <c r="AI87" s="99">
        <v>7024</v>
      </c>
      <c r="AJ87" s="99">
        <v>7024</v>
      </c>
    </row>
    <row r="88" spans="2:36" x14ac:dyDescent="0.15">
      <c r="B88" s="123" t="s">
        <v>362</v>
      </c>
      <c r="C88" s="123" t="s">
        <v>872</v>
      </c>
      <c r="D88" s="124" t="s">
        <v>363</v>
      </c>
      <c r="E88" s="116">
        <v>0</v>
      </c>
      <c r="F88" s="116">
        <v>0</v>
      </c>
      <c r="G88" s="116">
        <v>0</v>
      </c>
      <c r="H88" s="116">
        <v>0</v>
      </c>
      <c r="I88" s="116">
        <v>0</v>
      </c>
      <c r="J88" s="116">
        <v>0</v>
      </c>
      <c r="K88" s="116">
        <v>0</v>
      </c>
      <c r="L88" s="116">
        <v>0</v>
      </c>
      <c r="M88" s="125" t="s">
        <v>41</v>
      </c>
      <c r="N88" s="125" t="s">
        <v>41</v>
      </c>
      <c r="O88" s="125" t="s">
        <v>41</v>
      </c>
      <c r="P88" s="125" t="s">
        <v>41</v>
      </c>
      <c r="Q88" s="56">
        <v>0.68770432255721037</v>
      </c>
      <c r="R88" s="125">
        <v>0.68770432255721037</v>
      </c>
      <c r="S88" s="97" t="s">
        <v>91</v>
      </c>
      <c r="Y88" s="99">
        <v>0</v>
      </c>
      <c r="Z88" s="99">
        <v>0</v>
      </c>
      <c r="AA88" s="99">
        <v>0</v>
      </c>
      <c r="AB88" s="99">
        <v>0</v>
      </c>
      <c r="AG88" s="99">
        <v>15146</v>
      </c>
      <c r="AH88" s="99">
        <v>15146</v>
      </c>
      <c r="AI88" s="99">
        <v>6878</v>
      </c>
      <c r="AJ88" s="99">
        <v>6878</v>
      </c>
    </row>
    <row r="89" spans="2:36" x14ac:dyDescent="0.15">
      <c r="B89" s="123" t="s">
        <v>300</v>
      </c>
      <c r="C89" s="123" t="s">
        <v>872</v>
      </c>
      <c r="D89" s="124" t="s">
        <v>301</v>
      </c>
      <c r="E89" s="116">
        <v>0</v>
      </c>
      <c r="F89" s="116">
        <v>0</v>
      </c>
      <c r="G89" s="116">
        <v>246</v>
      </c>
      <c r="H89" s="116">
        <v>246</v>
      </c>
      <c r="I89" s="116">
        <v>0</v>
      </c>
      <c r="J89" s="116">
        <v>0</v>
      </c>
      <c r="K89" s="116">
        <v>5</v>
      </c>
      <c r="L89" s="116">
        <v>5</v>
      </c>
      <c r="M89" s="125">
        <v>0.97967479674796742</v>
      </c>
      <c r="N89" s="125" t="s">
        <v>41</v>
      </c>
      <c r="O89" s="125" t="s">
        <v>41</v>
      </c>
      <c r="P89" s="125">
        <v>0.97967479674796742</v>
      </c>
      <c r="Q89" s="56">
        <v>0.68802505448928197</v>
      </c>
      <c r="R89" s="125">
        <v>0.68953539776435169</v>
      </c>
      <c r="S89" s="97" t="s">
        <v>47</v>
      </c>
      <c r="Y89" s="99">
        <v>0</v>
      </c>
      <c r="Z89" s="99">
        <v>0</v>
      </c>
      <c r="AA89" s="99">
        <v>241</v>
      </c>
      <c r="AB89" s="99">
        <v>241</v>
      </c>
      <c r="AG89" s="99">
        <v>32514</v>
      </c>
      <c r="AH89" s="99">
        <v>32755</v>
      </c>
      <c r="AI89" s="99">
        <v>14743</v>
      </c>
      <c r="AJ89" s="99">
        <v>14748</v>
      </c>
    </row>
    <row r="90" spans="2:36" x14ac:dyDescent="0.15">
      <c r="B90" s="123" t="s">
        <v>315</v>
      </c>
      <c r="C90" s="123" t="s">
        <v>872</v>
      </c>
      <c r="D90" s="124" t="s">
        <v>726</v>
      </c>
      <c r="E90" s="116">
        <v>0</v>
      </c>
      <c r="F90" s="116">
        <v>0</v>
      </c>
      <c r="G90" s="116">
        <v>0</v>
      </c>
      <c r="H90" s="116">
        <v>0</v>
      </c>
      <c r="I90" s="116">
        <v>0</v>
      </c>
      <c r="J90" s="116">
        <v>0</v>
      </c>
      <c r="K90" s="116">
        <v>0</v>
      </c>
      <c r="L90" s="116">
        <v>0</v>
      </c>
      <c r="M90" s="125" t="s">
        <v>41</v>
      </c>
      <c r="N90" s="125" t="s">
        <v>41</v>
      </c>
      <c r="O90" s="125" t="s">
        <v>41</v>
      </c>
      <c r="P90" s="125" t="s">
        <v>41</v>
      </c>
      <c r="Q90" s="56">
        <v>0.75341649087407137</v>
      </c>
      <c r="R90" s="125">
        <v>0.75341649087407137</v>
      </c>
      <c r="S90" s="97" t="s">
        <v>59</v>
      </c>
      <c r="Y90" s="99">
        <v>0</v>
      </c>
      <c r="Z90" s="99">
        <v>0</v>
      </c>
      <c r="AA90" s="99">
        <v>0</v>
      </c>
      <c r="AB90" s="99">
        <v>0</v>
      </c>
      <c r="AG90" s="99">
        <v>16429</v>
      </c>
      <c r="AH90" s="99">
        <v>16429</v>
      </c>
      <c r="AI90" s="99">
        <v>5377</v>
      </c>
      <c r="AJ90" s="99">
        <v>5377</v>
      </c>
    </row>
    <row r="91" spans="2:36" x14ac:dyDescent="0.15">
      <c r="B91" s="123" t="s">
        <v>332</v>
      </c>
      <c r="C91" s="123" t="s">
        <v>872</v>
      </c>
      <c r="D91" s="124" t="s">
        <v>333</v>
      </c>
      <c r="E91" s="116">
        <v>1633</v>
      </c>
      <c r="F91" s="116">
        <v>0</v>
      </c>
      <c r="G91" s="116">
        <v>46</v>
      </c>
      <c r="H91" s="116">
        <v>1679</v>
      </c>
      <c r="I91" s="116">
        <v>387</v>
      </c>
      <c r="J91" s="116">
        <v>0</v>
      </c>
      <c r="K91" s="116">
        <v>0</v>
      </c>
      <c r="L91" s="116">
        <v>387</v>
      </c>
      <c r="M91" s="125">
        <v>0.76950565812983918</v>
      </c>
      <c r="N91" s="125">
        <v>0.76301285976729949</v>
      </c>
      <c r="O91" s="125" t="s">
        <v>41</v>
      </c>
      <c r="P91" s="125">
        <v>1</v>
      </c>
      <c r="Q91" s="56">
        <v>0.67013459912868201</v>
      </c>
      <c r="R91" s="125">
        <v>0.67527823164904277</v>
      </c>
      <c r="S91" s="97" t="s">
        <v>85</v>
      </c>
      <c r="Y91" s="99">
        <v>1246</v>
      </c>
      <c r="Z91" s="99">
        <v>0</v>
      </c>
      <c r="AA91" s="99">
        <v>46</v>
      </c>
      <c r="AB91" s="99">
        <v>1292</v>
      </c>
      <c r="AG91" s="99">
        <v>20612</v>
      </c>
      <c r="AH91" s="99">
        <v>21904</v>
      </c>
      <c r="AI91" s="99">
        <v>10146</v>
      </c>
      <c r="AJ91" s="99">
        <v>10533</v>
      </c>
    </row>
    <row r="92" spans="2:36" x14ac:dyDescent="0.15">
      <c r="B92" s="123" t="s">
        <v>357</v>
      </c>
      <c r="C92" s="123" t="s">
        <v>872</v>
      </c>
      <c r="D92" s="124" t="s">
        <v>727</v>
      </c>
      <c r="E92" s="116">
        <v>0</v>
      </c>
      <c r="F92" s="116">
        <v>0</v>
      </c>
      <c r="G92" s="116">
        <v>0</v>
      </c>
      <c r="H92" s="116">
        <v>0</v>
      </c>
      <c r="I92" s="116">
        <v>0</v>
      </c>
      <c r="J92" s="116">
        <v>0</v>
      </c>
      <c r="K92" s="116">
        <v>0</v>
      </c>
      <c r="L92" s="116">
        <v>0</v>
      </c>
      <c r="M92" s="125" t="s">
        <v>41</v>
      </c>
      <c r="N92" s="125" t="s">
        <v>41</v>
      </c>
      <c r="O92" s="125" t="s">
        <v>41</v>
      </c>
      <c r="P92" s="125" t="s">
        <v>41</v>
      </c>
      <c r="Q92" s="56">
        <v>0.62083491461100571</v>
      </c>
      <c r="R92" s="125">
        <v>0.62083491461100571</v>
      </c>
      <c r="S92" s="97" t="s">
        <v>89</v>
      </c>
      <c r="Y92" s="99">
        <v>0</v>
      </c>
      <c r="Z92" s="99">
        <v>0</v>
      </c>
      <c r="AA92" s="99">
        <v>0</v>
      </c>
      <c r="AB92" s="99">
        <v>0</v>
      </c>
      <c r="AG92" s="99">
        <v>16359</v>
      </c>
      <c r="AH92" s="99">
        <v>16359</v>
      </c>
      <c r="AI92" s="99">
        <v>9991</v>
      </c>
      <c r="AJ92" s="99">
        <v>9991</v>
      </c>
    </row>
    <row r="93" spans="2:36" x14ac:dyDescent="0.15">
      <c r="B93" s="123" t="s">
        <v>393</v>
      </c>
      <c r="C93" s="123" t="s">
        <v>872</v>
      </c>
      <c r="D93" s="124" t="s">
        <v>728</v>
      </c>
      <c r="E93" s="116">
        <v>609</v>
      </c>
      <c r="F93" s="116">
        <v>0</v>
      </c>
      <c r="G93" s="116">
        <v>525</v>
      </c>
      <c r="H93" s="116">
        <v>1134</v>
      </c>
      <c r="I93" s="116">
        <v>338</v>
      </c>
      <c r="J93" s="116">
        <v>0</v>
      </c>
      <c r="K93" s="116">
        <v>22</v>
      </c>
      <c r="L93" s="116">
        <v>360</v>
      </c>
      <c r="M93" s="125">
        <v>0.68253968253968256</v>
      </c>
      <c r="N93" s="125">
        <v>0.44499178981937604</v>
      </c>
      <c r="O93" s="125" t="s">
        <v>41</v>
      </c>
      <c r="P93" s="125">
        <v>0.95809523809523811</v>
      </c>
      <c r="Q93" s="56">
        <v>0.65937023054060562</v>
      </c>
      <c r="R93" s="125">
        <v>0.66037953288260598</v>
      </c>
      <c r="S93" s="97" t="s">
        <v>115</v>
      </c>
      <c r="Y93" s="99">
        <v>271</v>
      </c>
      <c r="Z93" s="99">
        <v>0</v>
      </c>
      <c r="AA93" s="99">
        <v>503</v>
      </c>
      <c r="AB93" s="99">
        <v>774</v>
      </c>
      <c r="AG93" s="99">
        <v>16417</v>
      </c>
      <c r="AH93" s="99">
        <v>17191</v>
      </c>
      <c r="AI93" s="99">
        <v>8481</v>
      </c>
      <c r="AJ93" s="99">
        <v>8841</v>
      </c>
    </row>
    <row r="94" spans="2:36" x14ac:dyDescent="0.15">
      <c r="B94" s="123" t="s">
        <v>409</v>
      </c>
      <c r="C94" s="123" t="s">
        <v>872</v>
      </c>
      <c r="D94" s="124" t="s">
        <v>410</v>
      </c>
      <c r="E94" s="116">
        <v>61</v>
      </c>
      <c r="F94" s="116">
        <v>0</v>
      </c>
      <c r="G94" s="116">
        <v>140</v>
      </c>
      <c r="H94" s="116">
        <v>201</v>
      </c>
      <c r="I94" s="116">
        <v>13</v>
      </c>
      <c r="J94" s="116">
        <v>0</v>
      </c>
      <c r="K94" s="116">
        <v>0</v>
      </c>
      <c r="L94" s="116">
        <v>13</v>
      </c>
      <c r="M94" s="125">
        <v>0.93532338308457708</v>
      </c>
      <c r="N94" s="125">
        <v>0.78688524590163933</v>
      </c>
      <c r="O94" s="125" t="s">
        <v>41</v>
      </c>
      <c r="P94" s="125">
        <v>1</v>
      </c>
      <c r="Q94" s="56">
        <v>0.7504613491900759</v>
      </c>
      <c r="R94" s="125">
        <v>0.75296655879180152</v>
      </c>
      <c r="S94" s="97" t="s">
        <v>123</v>
      </c>
      <c r="Y94" s="99">
        <v>48</v>
      </c>
      <c r="Z94" s="99">
        <v>0</v>
      </c>
      <c r="AA94" s="99">
        <v>140</v>
      </c>
      <c r="AB94" s="99">
        <v>188</v>
      </c>
      <c r="AG94" s="99">
        <v>10980</v>
      </c>
      <c r="AH94" s="99">
        <v>11168</v>
      </c>
      <c r="AI94" s="99">
        <v>3651</v>
      </c>
      <c r="AJ94" s="99">
        <v>3664</v>
      </c>
    </row>
    <row r="95" spans="2:36" x14ac:dyDescent="0.15">
      <c r="B95" s="123" t="s">
        <v>316</v>
      </c>
      <c r="C95" s="123" t="s">
        <v>872</v>
      </c>
      <c r="D95" s="124" t="s">
        <v>317</v>
      </c>
      <c r="E95" s="116">
        <v>0</v>
      </c>
      <c r="F95" s="116">
        <v>0</v>
      </c>
      <c r="G95" s="116">
        <v>0</v>
      </c>
      <c r="H95" s="116">
        <v>0</v>
      </c>
      <c r="I95" s="116">
        <v>0</v>
      </c>
      <c r="J95" s="116">
        <v>0</v>
      </c>
      <c r="K95" s="116">
        <v>0</v>
      </c>
      <c r="L95" s="116">
        <v>0</v>
      </c>
      <c r="M95" s="125" t="s">
        <v>41</v>
      </c>
      <c r="N95" s="125" t="s">
        <v>41</v>
      </c>
      <c r="O95" s="125" t="s">
        <v>41</v>
      </c>
      <c r="P95" s="125" t="s">
        <v>41</v>
      </c>
      <c r="Q95" s="56">
        <v>0.66497486007020212</v>
      </c>
      <c r="R95" s="125">
        <v>0.66497486007020212</v>
      </c>
      <c r="S95" s="97" t="s">
        <v>79</v>
      </c>
      <c r="Y95" s="99">
        <v>0</v>
      </c>
      <c r="Z95" s="99">
        <v>0</v>
      </c>
      <c r="AA95" s="99">
        <v>0</v>
      </c>
      <c r="AB95" s="99">
        <v>0</v>
      </c>
      <c r="AG95" s="99">
        <v>14019</v>
      </c>
      <c r="AH95" s="99">
        <v>14019</v>
      </c>
      <c r="AI95" s="99">
        <v>7063</v>
      </c>
      <c r="AJ95" s="99">
        <v>7063</v>
      </c>
    </row>
    <row r="96" spans="2:36" x14ac:dyDescent="0.15">
      <c r="B96" s="123" t="s">
        <v>318</v>
      </c>
      <c r="C96" s="123" t="s">
        <v>872</v>
      </c>
      <c r="D96" s="124" t="s">
        <v>319</v>
      </c>
      <c r="E96" s="116">
        <v>79</v>
      </c>
      <c r="F96" s="116">
        <v>0</v>
      </c>
      <c r="G96" s="116">
        <v>0</v>
      </c>
      <c r="H96" s="116">
        <v>79</v>
      </c>
      <c r="I96" s="116">
        <v>17</v>
      </c>
      <c r="J96" s="116">
        <v>0</v>
      </c>
      <c r="K96" s="116">
        <v>0</v>
      </c>
      <c r="L96" s="116">
        <v>17</v>
      </c>
      <c r="M96" s="125">
        <v>0.78481012658227844</v>
      </c>
      <c r="N96" s="125">
        <v>0.78481012658227844</v>
      </c>
      <c r="O96" s="125" t="s">
        <v>41</v>
      </c>
      <c r="P96" s="125" t="s">
        <v>41</v>
      </c>
      <c r="Q96" s="56">
        <v>0.65138350487902685</v>
      </c>
      <c r="R96" s="125">
        <v>0.65277777777777779</v>
      </c>
      <c r="S96" s="97" t="s">
        <v>79</v>
      </c>
      <c r="Y96" s="99">
        <v>62</v>
      </c>
      <c r="Z96" s="99">
        <v>0</v>
      </c>
      <c r="AA96" s="99">
        <v>0</v>
      </c>
      <c r="AB96" s="99">
        <v>62</v>
      </c>
      <c r="AG96" s="99">
        <v>4873</v>
      </c>
      <c r="AH96" s="99">
        <v>4935</v>
      </c>
      <c r="AI96" s="99">
        <v>2608</v>
      </c>
      <c r="AJ96" s="99">
        <v>2625</v>
      </c>
    </row>
    <row r="97" spans="2:36" x14ac:dyDescent="0.15">
      <c r="B97" s="123" t="s">
        <v>529</v>
      </c>
      <c r="C97" s="123" t="s">
        <v>869</v>
      </c>
      <c r="D97" s="124" t="s">
        <v>530</v>
      </c>
      <c r="E97" s="116">
        <v>415</v>
      </c>
      <c r="F97" s="116">
        <v>0</v>
      </c>
      <c r="G97" s="116">
        <v>0</v>
      </c>
      <c r="H97" s="116">
        <v>415</v>
      </c>
      <c r="I97" s="116">
        <v>0</v>
      </c>
      <c r="J97" s="116">
        <v>0</v>
      </c>
      <c r="K97" s="116">
        <v>0</v>
      </c>
      <c r="L97" s="116">
        <v>0</v>
      </c>
      <c r="M97" s="125">
        <v>1</v>
      </c>
      <c r="N97" s="125">
        <v>1</v>
      </c>
      <c r="O97" s="125" t="s">
        <v>41</v>
      </c>
      <c r="P97" s="125" t="s">
        <v>41</v>
      </c>
      <c r="Q97" s="56">
        <v>0.59388646288209612</v>
      </c>
      <c r="R97" s="125">
        <v>0.6185733118500073</v>
      </c>
      <c r="S97" s="97" t="s">
        <v>125</v>
      </c>
      <c r="Y97" s="99">
        <v>415</v>
      </c>
      <c r="Z97" s="99">
        <v>0</v>
      </c>
      <c r="AA97" s="99">
        <v>0</v>
      </c>
      <c r="AB97" s="99">
        <v>415</v>
      </c>
      <c r="AG97" s="99">
        <v>3808</v>
      </c>
      <c r="AH97" s="99">
        <v>4223</v>
      </c>
      <c r="AI97" s="99">
        <v>2604</v>
      </c>
      <c r="AJ97" s="99">
        <v>2604</v>
      </c>
    </row>
    <row r="98" spans="2:36" x14ac:dyDescent="0.15">
      <c r="B98" s="123" t="s">
        <v>521</v>
      </c>
      <c r="C98" s="123" t="s">
        <v>869</v>
      </c>
      <c r="D98" s="124" t="s">
        <v>522</v>
      </c>
      <c r="E98" s="116">
        <v>12</v>
      </c>
      <c r="F98" s="116">
        <v>0</v>
      </c>
      <c r="G98" s="116">
        <v>0</v>
      </c>
      <c r="H98" s="116">
        <v>12</v>
      </c>
      <c r="I98" s="116">
        <v>0</v>
      </c>
      <c r="J98" s="116">
        <v>0</v>
      </c>
      <c r="K98" s="116">
        <v>0</v>
      </c>
      <c r="L98" s="116">
        <v>0</v>
      </c>
      <c r="M98" s="125">
        <v>1</v>
      </c>
      <c r="N98" s="125">
        <v>1</v>
      </c>
      <c r="O98" s="125" t="s">
        <v>41</v>
      </c>
      <c r="P98" s="125" t="s">
        <v>41</v>
      </c>
      <c r="Q98" s="56">
        <v>0.71237358715050569</v>
      </c>
      <c r="R98" s="125">
        <v>0.71271538918597743</v>
      </c>
      <c r="S98" s="97" t="s">
        <v>113</v>
      </c>
      <c r="Y98" s="99">
        <v>12</v>
      </c>
      <c r="Z98" s="99">
        <v>0</v>
      </c>
      <c r="AA98" s="99">
        <v>0</v>
      </c>
      <c r="AB98" s="99">
        <v>12</v>
      </c>
      <c r="AG98" s="99">
        <v>7185</v>
      </c>
      <c r="AH98" s="99">
        <v>7197</v>
      </c>
      <c r="AI98" s="99">
        <v>2901</v>
      </c>
      <c r="AJ98" s="99">
        <v>2901</v>
      </c>
    </row>
    <row r="99" spans="2:36" x14ac:dyDescent="0.15">
      <c r="B99" s="123" t="s">
        <v>531</v>
      </c>
      <c r="C99" s="123" t="s">
        <v>869</v>
      </c>
      <c r="D99" s="124" t="s">
        <v>532</v>
      </c>
      <c r="E99" s="116">
        <v>0</v>
      </c>
      <c r="F99" s="116">
        <v>0</v>
      </c>
      <c r="G99" s="116">
        <v>0</v>
      </c>
      <c r="H99" s="116">
        <v>0</v>
      </c>
      <c r="I99" s="116">
        <v>0</v>
      </c>
      <c r="J99" s="116">
        <v>0</v>
      </c>
      <c r="K99" s="116">
        <v>0</v>
      </c>
      <c r="L99" s="116">
        <v>0</v>
      </c>
      <c r="M99" s="125" t="s">
        <v>41</v>
      </c>
      <c r="N99" s="125" t="s">
        <v>41</v>
      </c>
      <c r="O99" s="125" t="s">
        <v>41</v>
      </c>
      <c r="P99" s="125" t="s">
        <v>41</v>
      </c>
      <c r="Q99" s="56">
        <v>0.82138247526172381</v>
      </c>
      <c r="R99" s="125">
        <v>0.82138247526172381</v>
      </c>
      <c r="S99" s="97" t="s">
        <v>125</v>
      </c>
      <c r="Y99" s="99">
        <v>0</v>
      </c>
      <c r="Z99" s="99">
        <v>0</v>
      </c>
      <c r="AA99" s="99">
        <v>0</v>
      </c>
      <c r="AB99" s="99">
        <v>0</v>
      </c>
      <c r="AG99" s="99">
        <v>11455</v>
      </c>
      <c r="AH99" s="99">
        <v>11455</v>
      </c>
      <c r="AI99" s="99">
        <v>2491</v>
      </c>
      <c r="AJ99" s="99">
        <v>2491</v>
      </c>
    </row>
    <row r="100" spans="2:36" x14ac:dyDescent="0.15">
      <c r="B100" s="123" t="s">
        <v>498</v>
      </c>
      <c r="C100" s="123" t="s">
        <v>869</v>
      </c>
      <c r="D100" s="124" t="s">
        <v>499</v>
      </c>
      <c r="E100" s="116">
        <v>0</v>
      </c>
      <c r="F100" s="116">
        <v>0</v>
      </c>
      <c r="G100" s="116">
        <v>0</v>
      </c>
      <c r="H100" s="116">
        <v>0</v>
      </c>
      <c r="I100" s="116">
        <v>0</v>
      </c>
      <c r="J100" s="116">
        <v>0</v>
      </c>
      <c r="K100" s="116">
        <v>0</v>
      </c>
      <c r="L100" s="116">
        <v>0</v>
      </c>
      <c r="M100" s="125" t="s">
        <v>41</v>
      </c>
      <c r="N100" s="125" t="s">
        <v>41</v>
      </c>
      <c r="O100" s="125" t="s">
        <v>41</v>
      </c>
      <c r="P100" s="125" t="s">
        <v>41</v>
      </c>
      <c r="Q100" s="56">
        <v>0.86699779249448128</v>
      </c>
      <c r="R100" s="125">
        <v>0.86699779249448128</v>
      </c>
      <c r="S100" s="97" t="s">
        <v>83</v>
      </c>
      <c r="Y100" s="99">
        <v>0</v>
      </c>
      <c r="Z100" s="99">
        <v>0</v>
      </c>
      <c r="AA100" s="99">
        <v>0</v>
      </c>
      <c r="AB100" s="99">
        <v>0</v>
      </c>
      <c r="AG100" s="99">
        <v>3142</v>
      </c>
      <c r="AH100" s="99">
        <v>3142</v>
      </c>
      <c r="AI100" s="99">
        <v>482</v>
      </c>
      <c r="AJ100" s="99">
        <v>482</v>
      </c>
    </row>
    <row r="101" spans="2:36" x14ac:dyDescent="0.15">
      <c r="B101" s="123" t="s">
        <v>500</v>
      </c>
      <c r="C101" s="123" t="s">
        <v>869</v>
      </c>
      <c r="D101" s="124" t="s">
        <v>501</v>
      </c>
      <c r="E101" s="116">
        <v>0</v>
      </c>
      <c r="F101" s="116">
        <v>0</v>
      </c>
      <c r="G101" s="116">
        <v>0</v>
      </c>
      <c r="H101" s="116">
        <v>0</v>
      </c>
      <c r="I101" s="116">
        <v>0</v>
      </c>
      <c r="J101" s="116">
        <v>0</v>
      </c>
      <c r="K101" s="116">
        <v>0</v>
      </c>
      <c r="L101" s="116">
        <v>0</v>
      </c>
      <c r="M101" s="125" t="s">
        <v>41</v>
      </c>
      <c r="N101" s="125" t="s">
        <v>41</v>
      </c>
      <c r="O101" s="125" t="s">
        <v>41</v>
      </c>
      <c r="P101" s="125" t="s">
        <v>41</v>
      </c>
      <c r="Q101" s="56">
        <v>0.94451962110960763</v>
      </c>
      <c r="R101" s="125">
        <v>0.94451962110960763</v>
      </c>
      <c r="S101" s="97" t="s">
        <v>83</v>
      </c>
      <c r="Y101" s="99">
        <v>0</v>
      </c>
      <c r="Z101" s="99">
        <v>0</v>
      </c>
      <c r="AA101" s="99">
        <v>0</v>
      </c>
      <c r="AB101" s="99">
        <v>0</v>
      </c>
      <c r="AG101" s="99">
        <v>1396</v>
      </c>
      <c r="AH101" s="99">
        <v>1396</v>
      </c>
      <c r="AI101" s="99">
        <v>82</v>
      </c>
      <c r="AJ101" s="99">
        <v>82</v>
      </c>
    </row>
    <row r="102" spans="2:36" x14ac:dyDescent="0.15">
      <c r="B102" s="123" t="s">
        <v>533</v>
      </c>
      <c r="C102" s="123" t="s">
        <v>869</v>
      </c>
      <c r="D102" s="124" t="s">
        <v>729</v>
      </c>
      <c r="E102" s="116">
        <v>0</v>
      </c>
      <c r="F102" s="116">
        <v>0</v>
      </c>
      <c r="G102" s="116">
        <v>0</v>
      </c>
      <c r="H102" s="116">
        <v>0</v>
      </c>
      <c r="I102" s="116">
        <v>0</v>
      </c>
      <c r="J102" s="116">
        <v>0</v>
      </c>
      <c r="K102" s="116">
        <v>0</v>
      </c>
      <c r="L102" s="116">
        <v>0</v>
      </c>
      <c r="M102" s="125" t="s">
        <v>41</v>
      </c>
      <c r="N102" s="125" t="s">
        <v>41</v>
      </c>
      <c r="O102" s="125" t="s">
        <v>41</v>
      </c>
      <c r="P102" s="125" t="s">
        <v>41</v>
      </c>
      <c r="Q102" s="56">
        <v>0.85320376556331612</v>
      </c>
      <c r="R102" s="125">
        <v>0.85320376556331612</v>
      </c>
      <c r="S102" s="97" t="s">
        <v>125</v>
      </c>
      <c r="Y102" s="99">
        <v>0</v>
      </c>
      <c r="Z102" s="99">
        <v>0</v>
      </c>
      <c r="AA102" s="99">
        <v>0</v>
      </c>
      <c r="AB102" s="99">
        <v>0</v>
      </c>
      <c r="AG102" s="99">
        <v>14048</v>
      </c>
      <c r="AH102" s="99">
        <v>14048</v>
      </c>
      <c r="AI102" s="99">
        <v>2417</v>
      </c>
      <c r="AJ102" s="99">
        <v>2417</v>
      </c>
    </row>
    <row r="103" spans="2:36" x14ac:dyDescent="0.15">
      <c r="B103" s="123" t="s">
        <v>445</v>
      </c>
      <c r="C103" s="123" t="s">
        <v>869</v>
      </c>
      <c r="D103" s="124" t="s">
        <v>730</v>
      </c>
      <c r="E103" s="116">
        <v>0</v>
      </c>
      <c r="F103" s="116">
        <v>0</v>
      </c>
      <c r="G103" s="116">
        <v>6923</v>
      </c>
      <c r="H103" s="116">
        <v>6923</v>
      </c>
      <c r="I103" s="116">
        <v>0</v>
      </c>
      <c r="J103" s="116">
        <v>0</v>
      </c>
      <c r="K103" s="116">
        <v>0</v>
      </c>
      <c r="L103" s="116">
        <v>0</v>
      </c>
      <c r="M103" s="125">
        <v>1</v>
      </c>
      <c r="N103" s="125" t="s">
        <v>41</v>
      </c>
      <c r="O103" s="125" t="s">
        <v>41</v>
      </c>
      <c r="P103" s="125">
        <v>1</v>
      </c>
      <c r="Q103" s="56">
        <v>0.6767264983267417</v>
      </c>
      <c r="R103" s="125">
        <v>0.77254045723092735</v>
      </c>
      <c r="S103" s="97" t="s">
        <v>61</v>
      </c>
      <c r="Y103" s="99">
        <v>0</v>
      </c>
      <c r="Z103" s="99">
        <v>0</v>
      </c>
      <c r="AA103" s="99">
        <v>6923</v>
      </c>
      <c r="AB103" s="99">
        <v>6923</v>
      </c>
      <c r="AG103" s="99">
        <v>11122</v>
      </c>
      <c r="AH103" s="99">
        <v>18045</v>
      </c>
      <c r="AI103" s="99">
        <v>5313</v>
      </c>
      <c r="AJ103" s="99">
        <v>5313</v>
      </c>
    </row>
    <row r="104" spans="2:36" x14ac:dyDescent="0.15">
      <c r="B104" s="123" t="s">
        <v>523</v>
      </c>
      <c r="C104" s="123" t="s">
        <v>869</v>
      </c>
      <c r="D104" s="124" t="s">
        <v>731</v>
      </c>
      <c r="E104" s="116">
        <v>0</v>
      </c>
      <c r="F104" s="116">
        <v>0</v>
      </c>
      <c r="G104" s="116">
        <v>0</v>
      </c>
      <c r="H104" s="116">
        <v>0</v>
      </c>
      <c r="I104" s="116">
        <v>0</v>
      </c>
      <c r="J104" s="116">
        <v>0</v>
      </c>
      <c r="K104" s="116">
        <v>0</v>
      </c>
      <c r="L104" s="116">
        <v>0</v>
      </c>
      <c r="M104" s="125" t="s">
        <v>41</v>
      </c>
      <c r="N104" s="125" t="s">
        <v>41</v>
      </c>
      <c r="O104" s="125" t="s">
        <v>41</v>
      </c>
      <c r="P104" s="125" t="s">
        <v>41</v>
      </c>
      <c r="Q104" s="56">
        <v>0.73295974998652946</v>
      </c>
      <c r="R104" s="125">
        <v>0.73295974998652946</v>
      </c>
      <c r="S104" s="97" t="s">
        <v>113</v>
      </c>
      <c r="Y104" s="99">
        <v>0</v>
      </c>
      <c r="Z104" s="99">
        <v>0</v>
      </c>
      <c r="AA104" s="99">
        <v>0</v>
      </c>
      <c r="AB104" s="99">
        <v>0</v>
      </c>
      <c r="AG104" s="99">
        <v>13603</v>
      </c>
      <c r="AH104" s="99">
        <v>13603</v>
      </c>
      <c r="AI104" s="99">
        <v>4956</v>
      </c>
      <c r="AJ104" s="99">
        <v>4956</v>
      </c>
    </row>
    <row r="105" spans="2:36" x14ac:dyDescent="0.15">
      <c r="B105" s="123" t="s">
        <v>502</v>
      </c>
      <c r="C105" s="123" t="s">
        <v>869</v>
      </c>
      <c r="D105" s="124" t="s">
        <v>503</v>
      </c>
      <c r="E105" s="116">
        <v>0</v>
      </c>
      <c r="F105" s="116">
        <v>0</v>
      </c>
      <c r="G105" s="116">
        <v>0</v>
      </c>
      <c r="H105" s="116">
        <v>0</v>
      </c>
      <c r="I105" s="116">
        <v>0</v>
      </c>
      <c r="J105" s="116">
        <v>0</v>
      </c>
      <c r="K105" s="116">
        <v>0</v>
      </c>
      <c r="L105" s="116">
        <v>0</v>
      </c>
      <c r="M105" s="125" t="s">
        <v>41</v>
      </c>
      <c r="N105" s="125" t="s">
        <v>41</v>
      </c>
      <c r="O105" s="125" t="s">
        <v>41</v>
      </c>
      <c r="P105" s="125" t="s">
        <v>41</v>
      </c>
      <c r="Q105" s="56">
        <v>0.93369418132611637</v>
      </c>
      <c r="R105" s="125">
        <v>0.93369418132611637</v>
      </c>
      <c r="S105" s="97" t="s">
        <v>83</v>
      </c>
      <c r="Y105" s="99">
        <v>0</v>
      </c>
      <c r="Z105" s="99">
        <v>0</v>
      </c>
      <c r="AA105" s="99">
        <v>0</v>
      </c>
      <c r="AB105" s="99">
        <v>0</v>
      </c>
      <c r="AG105" s="99">
        <v>2760</v>
      </c>
      <c r="AH105" s="99">
        <v>2760</v>
      </c>
      <c r="AI105" s="99">
        <v>196</v>
      </c>
      <c r="AJ105" s="99">
        <v>196</v>
      </c>
    </row>
    <row r="106" spans="2:36" x14ac:dyDescent="0.15">
      <c r="B106" s="123" t="s">
        <v>448</v>
      </c>
      <c r="C106" s="123" t="s">
        <v>869</v>
      </c>
      <c r="D106" s="124" t="s">
        <v>449</v>
      </c>
      <c r="E106" s="116">
        <v>2</v>
      </c>
      <c r="F106" s="116">
        <v>0</v>
      </c>
      <c r="G106" s="116">
        <v>0</v>
      </c>
      <c r="H106" s="116">
        <v>2</v>
      </c>
      <c r="I106" s="116">
        <v>0</v>
      </c>
      <c r="J106" s="116">
        <v>0</v>
      </c>
      <c r="K106" s="116">
        <v>0</v>
      </c>
      <c r="L106" s="116">
        <v>0</v>
      </c>
      <c r="M106" s="125">
        <v>1</v>
      </c>
      <c r="N106" s="125">
        <v>1</v>
      </c>
      <c r="O106" s="125" t="s">
        <v>41</v>
      </c>
      <c r="P106" s="125" t="s">
        <v>41</v>
      </c>
      <c r="Q106" s="56">
        <v>0.77229454050903434</v>
      </c>
      <c r="R106" s="125">
        <v>0.77233877233877235</v>
      </c>
      <c r="S106" s="97" t="s">
        <v>61</v>
      </c>
      <c r="Y106" s="99">
        <v>2</v>
      </c>
      <c r="Z106" s="99">
        <v>0</v>
      </c>
      <c r="AA106" s="99">
        <v>0</v>
      </c>
      <c r="AB106" s="99">
        <v>2</v>
      </c>
      <c r="AG106" s="99">
        <v>7950</v>
      </c>
      <c r="AH106" s="99">
        <v>7952</v>
      </c>
      <c r="AI106" s="99">
        <v>2344</v>
      </c>
      <c r="AJ106" s="99">
        <v>2344</v>
      </c>
    </row>
    <row r="107" spans="2:36" x14ac:dyDescent="0.15">
      <c r="B107" s="123" t="s">
        <v>506</v>
      </c>
      <c r="C107" s="123" t="s">
        <v>869</v>
      </c>
      <c r="D107" s="124" t="s">
        <v>507</v>
      </c>
      <c r="E107" s="116">
        <v>0</v>
      </c>
      <c r="F107" s="116">
        <v>0</v>
      </c>
      <c r="G107" s="116">
        <v>0</v>
      </c>
      <c r="H107" s="116">
        <v>0</v>
      </c>
      <c r="I107" s="116">
        <v>0</v>
      </c>
      <c r="J107" s="116">
        <v>0</v>
      </c>
      <c r="K107" s="116">
        <v>0</v>
      </c>
      <c r="L107" s="116">
        <v>0</v>
      </c>
      <c r="M107" s="125" t="s">
        <v>41</v>
      </c>
      <c r="N107" s="125" t="s">
        <v>41</v>
      </c>
      <c r="O107" s="125" t="s">
        <v>41</v>
      </c>
      <c r="P107" s="125" t="s">
        <v>41</v>
      </c>
      <c r="Q107" s="56">
        <v>0.97457627118644063</v>
      </c>
      <c r="R107" s="125">
        <v>0.97457627118644063</v>
      </c>
      <c r="S107" s="97" t="s">
        <v>83</v>
      </c>
      <c r="Y107" s="99">
        <v>0</v>
      </c>
      <c r="Z107" s="99">
        <v>0</v>
      </c>
      <c r="AA107" s="99">
        <v>0</v>
      </c>
      <c r="AB107" s="99">
        <v>0</v>
      </c>
      <c r="AG107" s="99">
        <v>1610</v>
      </c>
      <c r="AH107" s="99">
        <v>1610</v>
      </c>
      <c r="AI107" s="99">
        <v>42</v>
      </c>
      <c r="AJ107" s="99">
        <v>42</v>
      </c>
    </row>
    <row r="108" spans="2:36" x14ac:dyDescent="0.15">
      <c r="B108" s="123" t="s">
        <v>534</v>
      </c>
      <c r="C108" s="123" t="s">
        <v>869</v>
      </c>
      <c r="D108" s="124" t="s">
        <v>732</v>
      </c>
      <c r="E108" s="116">
        <v>222</v>
      </c>
      <c r="F108" s="116">
        <v>0</v>
      </c>
      <c r="G108" s="116">
        <v>24</v>
      </c>
      <c r="H108" s="116">
        <v>246</v>
      </c>
      <c r="I108" s="116">
        <v>70</v>
      </c>
      <c r="J108" s="116">
        <v>0</v>
      </c>
      <c r="K108" s="116">
        <v>0</v>
      </c>
      <c r="L108" s="116">
        <v>70</v>
      </c>
      <c r="M108" s="125">
        <v>0.71544715447154472</v>
      </c>
      <c r="N108" s="125">
        <v>0.68468468468468469</v>
      </c>
      <c r="O108" s="125" t="s">
        <v>41</v>
      </c>
      <c r="P108" s="125">
        <v>1</v>
      </c>
      <c r="Q108" s="56">
        <v>0.72137349046995491</v>
      </c>
      <c r="R108" s="125">
        <v>0.72116870346958839</v>
      </c>
      <c r="S108" s="97" t="s">
        <v>83</v>
      </c>
      <c r="Y108" s="99">
        <v>152</v>
      </c>
      <c r="Z108" s="99">
        <v>0</v>
      </c>
      <c r="AA108" s="99">
        <v>24</v>
      </c>
      <c r="AB108" s="99">
        <v>176</v>
      </c>
      <c r="AG108" s="99">
        <v>4958</v>
      </c>
      <c r="AH108" s="99">
        <v>5134</v>
      </c>
      <c r="AI108" s="99">
        <v>1915</v>
      </c>
      <c r="AJ108" s="99">
        <v>1985</v>
      </c>
    </row>
    <row r="109" spans="2:36" x14ac:dyDescent="0.15">
      <c r="B109" s="123" t="s">
        <v>510</v>
      </c>
      <c r="C109" s="123" t="s">
        <v>869</v>
      </c>
      <c r="D109" s="124" t="s">
        <v>511</v>
      </c>
      <c r="E109" s="116">
        <v>0</v>
      </c>
      <c r="F109" s="116">
        <v>0</v>
      </c>
      <c r="G109" s="116">
        <v>0</v>
      </c>
      <c r="H109" s="116">
        <v>0</v>
      </c>
      <c r="I109" s="116">
        <v>0</v>
      </c>
      <c r="J109" s="116">
        <v>0</v>
      </c>
      <c r="K109" s="116">
        <v>0</v>
      </c>
      <c r="L109" s="116">
        <v>0</v>
      </c>
      <c r="M109" s="125" t="s">
        <v>41</v>
      </c>
      <c r="N109" s="125" t="s">
        <v>41</v>
      </c>
      <c r="O109" s="125" t="s">
        <v>41</v>
      </c>
      <c r="P109" s="125" t="s">
        <v>41</v>
      </c>
      <c r="Q109" s="56">
        <v>0.54545454545454541</v>
      </c>
      <c r="R109" s="125">
        <v>0.54545454545454541</v>
      </c>
      <c r="S109" s="97" t="s">
        <v>83</v>
      </c>
      <c r="Y109" s="99">
        <v>0</v>
      </c>
      <c r="Z109" s="99">
        <v>0</v>
      </c>
      <c r="AA109" s="99">
        <v>0</v>
      </c>
      <c r="AB109" s="99">
        <v>0</v>
      </c>
      <c r="AG109" s="99">
        <v>7758</v>
      </c>
      <c r="AH109" s="99">
        <v>7758</v>
      </c>
      <c r="AI109" s="99">
        <v>6465</v>
      </c>
      <c r="AJ109" s="99">
        <v>6465</v>
      </c>
    </row>
    <row r="110" spans="2:36" x14ac:dyDescent="0.15">
      <c r="B110" s="123" t="s">
        <v>512</v>
      </c>
      <c r="C110" s="123" t="s">
        <v>869</v>
      </c>
      <c r="D110" s="124" t="s">
        <v>825</v>
      </c>
      <c r="E110" s="116">
        <v>0</v>
      </c>
      <c r="F110" s="116">
        <v>0</v>
      </c>
      <c r="G110" s="116">
        <v>46</v>
      </c>
      <c r="H110" s="116">
        <v>46</v>
      </c>
      <c r="I110" s="116">
        <v>0</v>
      </c>
      <c r="J110" s="116">
        <v>0</v>
      </c>
      <c r="K110" s="116">
        <v>0</v>
      </c>
      <c r="L110" s="116">
        <v>0</v>
      </c>
      <c r="M110" s="125">
        <v>1</v>
      </c>
      <c r="N110" s="125" t="s">
        <v>41</v>
      </c>
      <c r="O110" s="125" t="s">
        <v>41</v>
      </c>
      <c r="P110" s="125">
        <v>1</v>
      </c>
      <c r="Q110" s="56">
        <v>0.99079189686924496</v>
      </c>
      <c r="R110" s="125">
        <v>0.99116607773851595</v>
      </c>
      <c r="S110" s="97" t="s">
        <v>83</v>
      </c>
      <c r="Y110" s="99">
        <v>0</v>
      </c>
      <c r="Z110" s="99">
        <v>0</v>
      </c>
      <c r="AA110" s="99">
        <v>46</v>
      </c>
      <c r="AB110" s="99">
        <v>46</v>
      </c>
      <c r="AG110" s="99">
        <v>1076</v>
      </c>
      <c r="AH110" s="99">
        <v>1122</v>
      </c>
      <c r="AI110" s="99">
        <v>10</v>
      </c>
      <c r="AJ110" s="99">
        <v>10</v>
      </c>
    </row>
    <row r="111" spans="2:36" x14ac:dyDescent="0.15">
      <c r="B111" s="123" t="s">
        <v>537</v>
      </c>
      <c r="C111" s="123" t="s">
        <v>869</v>
      </c>
      <c r="D111" s="124" t="s">
        <v>538</v>
      </c>
      <c r="E111" s="116">
        <v>60</v>
      </c>
      <c r="F111" s="116">
        <v>0</v>
      </c>
      <c r="G111" s="116">
        <v>370</v>
      </c>
      <c r="H111" s="116">
        <v>430</v>
      </c>
      <c r="I111" s="116">
        <v>19</v>
      </c>
      <c r="J111" s="116">
        <v>0</v>
      </c>
      <c r="K111" s="116">
        <v>0</v>
      </c>
      <c r="L111" s="116">
        <v>19</v>
      </c>
      <c r="M111" s="125">
        <v>0.95581395348837206</v>
      </c>
      <c r="N111" s="125">
        <v>0.68333333333333335</v>
      </c>
      <c r="O111" s="125" t="s">
        <v>41</v>
      </c>
      <c r="P111" s="125">
        <v>1</v>
      </c>
      <c r="Q111" s="56">
        <v>0.75416236448115648</v>
      </c>
      <c r="R111" s="125">
        <v>0.75692190185220543</v>
      </c>
      <c r="S111" s="97" t="s">
        <v>125</v>
      </c>
      <c r="Y111" s="99">
        <v>41</v>
      </c>
      <c r="Z111" s="99">
        <v>0</v>
      </c>
      <c r="AA111" s="99">
        <v>370</v>
      </c>
      <c r="AB111" s="99">
        <v>411</v>
      </c>
      <c r="AG111" s="99">
        <v>23373</v>
      </c>
      <c r="AH111" s="99">
        <v>23784</v>
      </c>
      <c r="AI111" s="99">
        <v>7619</v>
      </c>
      <c r="AJ111" s="99">
        <v>7638</v>
      </c>
    </row>
    <row r="112" spans="2:36" x14ac:dyDescent="0.15">
      <c r="B112" s="123" t="s">
        <v>539</v>
      </c>
      <c r="C112" s="123" t="s">
        <v>869</v>
      </c>
      <c r="D112" s="124" t="s">
        <v>828</v>
      </c>
      <c r="E112" s="116">
        <v>0</v>
      </c>
      <c r="F112" s="116">
        <v>0</v>
      </c>
      <c r="G112" s="116">
        <v>206</v>
      </c>
      <c r="H112" s="116">
        <v>206</v>
      </c>
      <c r="I112" s="116">
        <v>0</v>
      </c>
      <c r="J112" s="116">
        <v>0</v>
      </c>
      <c r="K112" s="116">
        <v>0</v>
      </c>
      <c r="L112" s="116">
        <v>0</v>
      </c>
      <c r="M112" s="125">
        <v>1</v>
      </c>
      <c r="N112" s="125" t="s">
        <v>41</v>
      </c>
      <c r="O112" s="125" t="s">
        <v>41</v>
      </c>
      <c r="P112" s="125">
        <v>1</v>
      </c>
      <c r="Q112" s="56">
        <v>0.99610558199913457</v>
      </c>
      <c r="R112" s="125">
        <v>0.9964243146603099</v>
      </c>
      <c r="S112" s="97" t="s">
        <v>125</v>
      </c>
      <c r="Y112" s="99">
        <v>0</v>
      </c>
      <c r="Z112" s="99">
        <v>0</v>
      </c>
      <c r="AA112" s="99">
        <v>206</v>
      </c>
      <c r="AB112" s="99">
        <v>206</v>
      </c>
      <c r="AG112" s="99">
        <v>2302</v>
      </c>
      <c r="AH112" s="99">
        <v>2508</v>
      </c>
      <c r="AI112" s="99">
        <v>9</v>
      </c>
      <c r="AJ112" s="99">
        <v>9</v>
      </c>
    </row>
    <row r="113" spans="2:36" x14ac:dyDescent="0.15">
      <c r="B113" s="123" t="s">
        <v>541</v>
      </c>
      <c r="C113" s="123" t="s">
        <v>869</v>
      </c>
      <c r="D113" s="124" t="s">
        <v>542</v>
      </c>
      <c r="E113" s="116">
        <v>120</v>
      </c>
      <c r="F113" s="116">
        <v>0</v>
      </c>
      <c r="G113" s="116">
        <v>99</v>
      </c>
      <c r="H113" s="116">
        <v>219</v>
      </c>
      <c r="I113" s="116">
        <v>0</v>
      </c>
      <c r="J113" s="116">
        <v>0</v>
      </c>
      <c r="K113" s="116">
        <v>0</v>
      </c>
      <c r="L113" s="116">
        <v>0</v>
      </c>
      <c r="M113" s="125">
        <v>1</v>
      </c>
      <c r="N113" s="125">
        <v>1</v>
      </c>
      <c r="O113" s="125" t="s">
        <v>41</v>
      </c>
      <c r="P113" s="125">
        <v>1</v>
      </c>
      <c r="Q113" s="56">
        <v>0.69811794228356339</v>
      </c>
      <c r="R113" s="125">
        <v>0.70085788884744493</v>
      </c>
      <c r="S113" s="97" t="s">
        <v>125</v>
      </c>
      <c r="Y113" s="99">
        <v>120</v>
      </c>
      <c r="Z113" s="99">
        <v>0</v>
      </c>
      <c r="AA113" s="99">
        <v>99</v>
      </c>
      <c r="AB113" s="99">
        <v>219</v>
      </c>
      <c r="AG113" s="99">
        <v>16692</v>
      </c>
      <c r="AH113" s="99">
        <v>16911</v>
      </c>
      <c r="AI113" s="99">
        <v>7218</v>
      </c>
      <c r="AJ113" s="99">
        <v>7218</v>
      </c>
    </row>
    <row r="114" spans="2:36" x14ac:dyDescent="0.15">
      <c r="B114" s="123" t="s">
        <v>446</v>
      </c>
      <c r="C114" s="123" t="s">
        <v>869</v>
      </c>
      <c r="D114" s="124" t="s">
        <v>447</v>
      </c>
      <c r="E114" s="116">
        <v>207</v>
      </c>
      <c r="F114" s="116">
        <v>0</v>
      </c>
      <c r="G114" s="116">
        <v>42</v>
      </c>
      <c r="H114" s="116">
        <v>249</v>
      </c>
      <c r="I114" s="116">
        <v>55</v>
      </c>
      <c r="J114" s="116">
        <v>0</v>
      </c>
      <c r="K114" s="116">
        <v>4</v>
      </c>
      <c r="L114" s="116">
        <v>59</v>
      </c>
      <c r="M114" s="125">
        <v>0.76305220883534142</v>
      </c>
      <c r="N114" s="125">
        <v>0.7342995169082126</v>
      </c>
      <c r="O114" s="125" t="s">
        <v>41</v>
      </c>
      <c r="P114" s="125">
        <v>0.90476190476190477</v>
      </c>
      <c r="Q114" s="56">
        <v>0.6211715481171548</v>
      </c>
      <c r="R114" s="125">
        <v>0.62406754652020657</v>
      </c>
      <c r="S114" s="97" t="s">
        <v>61</v>
      </c>
      <c r="Y114" s="99">
        <v>152</v>
      </c>
      <c r="Z114" s="99">
        <v>0</v>
      </c>
      <c r="AA114" s="99">
        <v>38</v>
      </c>
      <c r="AB114" s="99">
        <v>190</v>
      </c>
      <c r="AG114" s="99">
        <v>7423</v>
      </c>
      <c r="AH114" s="99">
        <v>7613</v>
      </c>
      <c r="AI114" s="99">
        <v>4527</v>
      </c>
      <c r="AJ114" s="99">
        <v>4586</v>
      </c>
    </row>
    <row r="115" spans="2:36" x14ac:dyDescent="0.15">
      <c r="B115" s="123" t="s">
        <v>450</v>
      </c>
      <c r="C115" s="123" t="s">
        <v>869</v>
      </c>
      <c r="D115" s="124" t="s">
        <v>733</v>
      </c>
      <c r="E115" s="116">
        <v>0</v>
      </c>
      <c r="F115" s="116">
        <v>0</v>
      </c>
      <c r="G115" s="116">
        <v>0</v>
      </c>
      <c r="H115" s="116">
        <v>0</v>
      </c>
      <c r="I115" s="116">
        <v>0</v>
      </c>
      <c r="J115" s="116">
        <v>0</v>
      </c>
      <c r="K115" s="116">
        <v>0</v>
      </c>
      <c r="L115" s="116">
        <v>0</v>
      </c>
      <c r="M115" s="125" t="s">
        <v>41</v>
      </c>
      <c r="N115" s="125" t="s">
        <v>41</v>
      </c>
      <c r="O115" s="125" t="s">
        <v>41</v>
      </c>
      <c r="P115" s="125" t="s">
        <v>41</v>
      </c>
      <c r="Q115" s="56">
        <v>0.81012116020070979</v>
      </c>
      <c r="R115" s="125">
        <v>0.81012116020070979</v>
      </c>
      <c r="S115" s="97" t="s">
        <v>61</v>
      </c>
      <c r="Y115" s="99">
        <v>0</v>
      </c>
      <c r="Z115" s="99">
        <v>0</v>
      </c>
      <c r="AA115" s="99">
        <v>0</v>
      </c>
      <c r="AB115" s="99">
        <v>0</v>
      </c>
      <c r="AG115" s="99">
        <v>13239</v>
      </c>
      <c r="AH115" s="99">
        <v>13239</v>
      </c>
      <c r="AI115" s="99">
        <v>3103</v>
      </c>
      <c r="AJ115" s="99">
        <v>3103</v>
      </c>
    </row>
    <row r="116" spans="2:36" x14ac:dyDescent="0.15">
      <c r="B116" s="123" t="s">
        <v>514</v>
      </c>
      <c r="C116" s="123" t="s">
        <v>869</v>
      </c>
      <c r="D116" s="124" t="s">
        <v>734</v>
      </c>
      <c r="E116" s="116">
        <v>0</v>
      </c>
      <c r="F116" s="116">
        <v>0</v>
      </c>
      <c r="G116" s="116">
        <v>281</v>
      </c>
      <c r="H116" s="116">
        <v>281</v>
      </c>
      <c r="I116" s="116">
        <v>0</v>
      </c>
      <c r="J116" s="116">
        <v>0</v>
      </c>
      <c r="K116" s="116">
        <v>2</v>
      </c>
      <c r="L116" s="116">
        <v>2</v>
      </c>
      <c r="M116" s="125">
        <v>0.99288256227758009</v>
      </c>
      <c r="N116" s="125" t="s">
        <v>41</v>
      </c>
      <c r="O116" s="125" t="s">
        <v>41</v>
      </c>
      <c r="P116" s="125">
        <v>0.99288256227758009</v>
      </c>
      <c r="Q116" s="56">
        <v>0.68797014403172196</v>
      </c>
      <c r="R116" s="125">
        <v>0.6928858290304073</v>
      </c>
      <c r="S116" s="97" t="s">
        <v>83</v>
      </c>
      <c r="Y116" s="99">
        <v>0</v>
      </c>
      <c r="Z116" s="99">
        <v>0</v>
      </c>
      <c r="AA116" s="99">
        <v>279</v>
      </c>
      <c r="AB116" s="99">
        <v>279</v>
      </c>
      <c r="AG116" s="99">
        <v>11798</v>
      </c>
      <c r="AH116" s="99">
        <v>12077</v>
      </c>
      <c r="AI116" s="99">
        <v>5351</v>
      </c>
      <c r="AJ116" s="99">
        <v>5353</v>
      </c>
    </row>
    <row r="117" spans="2:36" x14ac:dyDescent="0.15">
      <c r="B117" s="123" t="s">
        <v>451</v>
      </c>
      <c r="C117" s="123" t="s">
        <v>869</v>
      </c>
      <c r="D117" s="124" t="s">
        <v>452</v>
      </c>
      <c r="E117" s="116">
        <v>0</v>
      </c>
      <c r="F117" s="116">
        <v>0</v>
      </c>
      <c r="G117" s="116">
        <v>0</v>
      </c>
      <c r="H117" s="116">
        <v>0</v>
      </c>
      <c r="I117" s="116">
        <v>0</v>
      </c>
      <c r="J117" s="116">
        <v>0</v>
      </c>
      <c r="K117" s="116">
        <v>0</v>
      </c>
      <c r="L117" s="116">
        <v>0</v>
      </c>
      <c r="M117" s="125" t="s">
        <v>41</v>
      </c>
      <c r="N117" s="125" t="s">
        <v>41</v>
      </c>
      <c r="O117" s="125" t="s">
        <v>41</v>
      </c>
      <c r="P117" s="125" t="s">
        <v>41</v>
      </c>
      <c r="Q117" s="56">
        <v>0.90762197525025612</v>
      </c>
      <c r="R117" s="125">
        <v>0.90762197525025612</v>
      </c>
      <c r="S117" s="97" t="s">
        <v>61</v>
      </c>
      <c r="Y117" s="99">
        <v>0</v>
      </c>
      <c r="Z117" s="99">
        <v>0</v>
      </c>
      <c r="AA117" s="99">
        <v>0</v>
      </c>
      <c r="AB117" s="99">
        <v>0</v>
      </c>
      <c r="AG117" s="99">
        <v>23030</v>
      </c>
      <c r="AH117" s="99">
        <v>23030</v>
      </c>
      <c r="AI117" s="99">
        <v>2344</v>
      </c>
      <c r="AJ117" s="99">
        <v>2344</v>
      </c>
    </row>
    <row r="118" spans="2:36" x14ac:dyDescent="0.15">
      <c r="B118" s="123" t="s">
        <v>524</v>
      </c>
      <c r="C118" s="123" t="s">
        <v>869</v>
      </c>
      <c r="D118" s="124" t="s">
        <v>735</v>
      </c>
      <c r="E118" s="116">
        <v>148</v>
      </c>
      <c r="F118" s="116">
        <v>0</v>
      </c>
      <c r="G118" s="116">
        <v>15</v>
      </c>
      <c r="H118" s="116">
        <v>163</v>
      </c>
      <c r="I118" s="116">
        <v>16</v>
      </c>
      <c r="J118" s="116">
        <v>0</v>
      </c>
      <c r="K118" s="116">
        <v>0</v>
      </c>
      <c r="L118" s="116">
        <v>16</v>
      </c>
      <c r="M118" s="125">
        <v>0.90184049079754602</v>
      </c>
      <c r="N118" s="125">
        <v>0.89189189189189189</v>
      </c>
      <c r="O118" s="125" t="s">
        <v>41</v>
      </c>
      <c r="P118" s="125">
        <v>1</v>
      </c>
      <c r="Q118" s="56">
        <v>0.90297274979355902</v>
      </c>
      <c r="R118" s="125">
        <v>0.90293588975434391</v>
      </c>
      <c r="S118" s="97" t="s">
        <v>113</v>
      </c>
      <c r="Y118" s="99">
        <v>132</v>
      </c>
      <c r="Z118" s="99">
        <v>0</v>
      </c>
      <c r="AA118" s="99">
        <v>15</v>
      </c>
      <c r="AB118" s="99">
        <v>147</v>
      </c>
      <c r="AG118" s="99">
        <v>4374</v>
      </c>
      <c r="AH118" s="99">
        <v>4521</v>
      </c>
      <c r="AI118" s="99">
        <v>470</v>
      </c>
      <c r="AJ118" s="99">
        <v>486</v>
      </c>
    </row>
    <row r="119" spans="2:36" x14ac:dyDescent="0.15">
      <c r="B119" s="123" t="s">
        <v>525</v>
      </c>
      <c r="C119" s="123" t="s">
        <v>869</v>
      </c>
      <c r="D119" s="124" t="s">
        <v>526</v>
      </c>
      <c r="E119" s="116">
        <v>288</v>
      </c>
      <c r="F119" s="116">
        <v>1</v>
      </c>
      <c r="G119" s="116">
        <v>1099</v>
      </c>
      <c r="H119" s="116">
        <v>1388</v>
      </c>
      <c r="I119" s="116">
        <v>146</v>
      </c>
      <c r="J119" s="116">
        <v>0</v>
      </c>
      <c r="K119" s="116">
        <v>16</v>
      </c>
      <c r="L119" s="116">
        <v>162</v>
      </c>
      <c r="M119" s="125">
        <v>0.88328530259365989</v>
      </c>
      <c r="N119" s="125">
        <v>0.49305555555555558</v>
      </c>
      <c r="O119" s="125">
        <v>1</v>
      </c>
      <c r="P119" s="125">
        <v>0.9854413102820746</v>
      </c>
      <c r="Q119" s="56">
        <v>0.70570381399610582</v>
      </c>
      <c r="R119" s="125">
        <v>0.71877984084880642</v>
      </c>
      <c r="S119" s="97" t="s">
        <v>113</v>
      </c>
      <c r="Y119" s="99">
        <v>142</v>
      </c>
      <c r="Z119" s="99">
        <v>1</v>
      </c>
      <c r="AA119" s="99">
        <v>1083</v>
      </c>
      <c r="AB119" s="99">
        <v>1226</v>
      </c>
      <c r="AG119" s="99">
        <v>12323</v>
      </c>
      <c r="AH119" s="99">
        <v>13549</v>
      </c>
      <c r="AI119" s="99">
        <v>5139</v>
      </c>
      <c r="AJ119" s="99">
        <v>5301</v>
      </c>
    </row>
    <row r="120" spans="2:36" x14ac:dyDescent="0.15">
      <c r="B120" s="123" t="s">
        <v>453</v>
      </c>
      <c r="C120" s="123" t="s">
        <v>869</v>
      </c>
      <c r="D120" s="124" t="s">
        <v>454</v>
      </c>
      <c r="E120" s="116">
        <v>0</v>
      </c>
      <c r="F120" s="116">
        <v>0</v>
      </c>
      <c r="G120" s="116">
        <v>1947</v>
      </c>
      <c r="H120" s="116">
        <v>1947</v>
      </c>
      <c r="I120" s="116">
        <v>0</v>
      </c>
      <c r="J120" s="116">
        <v>0</v>
      </c>
      <c r="K120" s="116">
        <v>30</v>
      </c>
      <c r="L120" s="116">
        <v>30</v>
      </c>
      <c r="M120" s="125">
        <v>0.98459167950693371</v>
      </c>
      <c r="N120" s="125" t="s">
        <v>41</v>
      </c>
      <c r="O120" s="125" t="s">
        <v>41</v>
      </c>
      <c r="P120" s="125">
        <v>0.98459167950693371</v>
      </c>
      <c r="Q120" s="56">
        <v>0.74805882352941178</v>
      </c>
      <c r="R120" s="125">
        <v>0.77236501820868741</v>
      </c>
      <c r="S120" s="97" t="s">
        <v>61</v>
      </c>
      <c r="Y120" s="99">
        <v>0</v>
      </c>
      <c r="Z120" s="99">
        <v>0</v>
      </c>
      <c r="AA120" s="99">
        <v>1917</v>
      </c>
      <c r="AB120" s="99">
        <v>1917</v>
      </c>
      <c r="AG120" s="99">
        <v>12717</v>
      </c>
      <c r="AH120" s="99">
        <v>14634</v>
      </c>
      <c r="AI120" s="99">
        <v>4283</v>
      </c>
      <c r="AJ120" s="99">
        <v>4313</v>
      </c>
    </row>
    <row r="121" spans="2:36" x14ac:dyDescent="0.15">
      <c r="B121" s="123" t="s">
        <v>455</v>
      </c>
      <c r="C121" s="123" t="s">
        <v>869</v>
      </c>
      <c r="D121" s="124" t="s">
        <v>827</v>
      </c>
      <c r="E121" s="116">
        <v>823</v>
      </c>
      <c r="F121" s="116">
        <v>0</v>
      </c>
      <c r="G121" s="116">
        <v>1281</v>
      </c>
      <c r="H121" s="116">
        <v>2104</v>
      </c>
      <c r="I121" s="116">
        <v>350</v>
      </c>
      <c r="J121" s="116">
        <v>0</v>
      </c>
      <c r="K121" s="116">
        <v>55</v>
      </c>
      <c r="L121" s="116">
        <v>405</v>
      </c>
      <c r="M121" s="125">
        <v>0.80750950570342206</v>
      </c>
      <c r="N121" s="125">
        <v>0.57472660996354796</v>
      </c>
      <c r="O121" s="125" t="s">
        <v>41</v>
      </c>
      <c r="P121" s="125">
        <v>0.95706479313036685</v>
      </c>
      <c r="Q121" s="56">
        <v>0.74060169709436874</v>
      </c>
      <c r="R121" s="125">
        <v>0.74713443779293698</v>
      </c>
      <c r="S121" s="97" t="s">
        <v>61</v>
      </c>
      <c r="Y121" s="99">
        <v>473</v>
      </c>
      <c r="Z121" s="99">
        <v>0</v>
      </c>
      <c r="AA121" s="99">
        <v>1226</v>
      </c>
      <c r="AB121" s="99">
        <v>1699</v>
      </c>
      <c r="AG121" s="99">
        <v>14401</v>
      </c>
      <c r="AH121" s="99">
        <v>16100</v>
      </c>
      <c r="AI121" s="99">
        <v>5044</v>
      </c>
      <c r="AJ121" s="99">
        <v>5449</v>
      </c>
    </row>
    <row r="122" spans="2:36" x14ac:dyDescent="0.15">
      <c r="B122" s="123" t="s">
        <v>547</v>
      </c>
      <c r="C122" s="123" t="s">
        <v>869</v>
      </c>
      <c r="D122" s="124" t="s">
        <v>862</v>
      </c>
      <c r="E122" s="116">
        <v>0</v>
      </c>
      <c r="F122" s="116">
        <v>0</v>
      </c>
      <c r="G122" s="116">
        <v>0</v>
      </c>
      <c r="H122" s="116">
        <v>0</v>
      </c>
      <c r="I122" s="116">
        <v>0</v>
      </c>
      <c r="J122" s="116">
        <v>0</v>
      </c>
      <c r="K122" s="116">
        <v>0</v>
      </c>
      <c r="L122" s="116">
        <v>0</v>
      </c>
      <c r="M122" s="125" t="s">
        <v>41</v>
      </c>
      <c r="N122" s="125" t="s">
        <v>41</v>
      </c>
      <c r="O122" s="125" t="s">
        <v>41</v>
      </c>
      <c r="P122" s="125" t="s">
        <v>41</v>
      </c>
      <c r="Q122" s="56" t="s">
        <v>41</v>
      </c>
      <c r="R122" s="125" t="s">
        <v>41</v>
      </c>
      <c r="S122" s="97" t="s">
        <v>125</v>
      </c>
      <c r="Y122" s="99">
        <v>0</v>
      </c>
      <c r="Z122" s="99">
        <v>0</v>
      </c>
      <c r="AA122" s="99">
        <v>0</v>
      </c>
      <c r="AB122" s="99">
        <v>0</v>
      </c>
      <c r="AG122" s="99">
        <v>0</v>
      </c>
      <c r="AH122" s="99">
        <v>0</v>
      </c>
      <c r="AI122" s="99">
        <v>0</v>
      </c>
      <c r="AJ122" s="99">
        <v>0</v>
      </c>
    </row>
    <row r="123" spans="2:36" x14ac:dyDescent="0.15">
      <c r="B123" s="123" t="s">
        <v>459</v>
      </c>
      <c r="C123" s="123" t="s">
        <v>869</v>
      </c>
      <c r="D123" s="124" t="s">
        <v>460</v>
      </c>
      <c r="E123" s="116">
        <v>0</v>
      </c>
      <c r="F123" s="116">
        <v>0</v>
      </c>
      <c r="G123" s="116">
        <v>1381</v>
      </c>
      <c r="H123" s="116">
        <v>1381</v>
      </c>
      <c r="I123" s="116">
        <v>0</v>
      </c>
      <c r="J123" s="116">
        <v>0</v>
      </c>
      <c r="K123" s="116">
        <v>0</v>
      </c>
      <c r="L123" s="116">
        <v>0</v>
      </c>
      <c r="M123" s="125">
        <v>1</v>
      </c>
      <c r="N123" s="125" t="s">
        <v>41</v>
      </c>
      <c r="O123" s="125" t="s">
        <v>41</v>
      </c>
      <c r="P123" s="125">
        <v>1</v>
      </c>
      <c r="Q123" s="56">
        <v>0.74810363930793489</v>
      </c>
      <c r="R123" s="125">
        <v>0.76210407695093974</v>
      </c>
      <c r="S123" s="97" t="s">
        <v>61</v>
      </c>
      <c r="Y123" s="99">
        <v>0</v>
      </c>
      <c r="Z123" s="99">
        <v>0</v>
      </c>
      <c r="AA123" s="99">
        <v>1381</v>
      </c>
      <c r="AB123" s="99">
        <v>1381</v>
      </c>
      <c r="AG123" s="99">
        <v>17555</v>
      </c>
      <c r="AH123" s="99">
        <v>18936</v>
      </c>
      <c r="AI123" s="99">
        <v>5911</v>
      </c>
      <c r="AJ123" s="99">
        <v>5911</v>
      </c>
    </row>
    <row r="124" spans="2:36" x14ac:dyDescent="0.15">
      <c r="B124" s="123" t="s">
        <v>527</v>
      </c>
      <c r="C124" s="123" t="s">
        <v>869</v>
      </c>
      <c r="D124" s="124" t="s">
        <v>528</v>
      </c>
      <c r="E124" s="116">
        <v>0</v>
      </c>
      <c r="F124" s="116">
        <v>0</v>
      </c>
      <c r="G124" s="116">
        <v>0</v>
      </c>
      <c r="H124" s="116">
        <v>0</v>
      </c>
      <c r="I124" s="116">
        <v>0</v>
      </c>
      <c r="J124" s="116">
        <v>0</v>
      </c>
      <c r="K124" s="116">
        <v>0</v>
      </c>
      <c r="L124" s="116">
        <v>0</v>
      </c>
      <c r="M124" s="125" t="s">
        <v>41</v>
      </c>
      <c r="N124" s="125" t="s">
        <v>41</v>
      </c>
      <c r="O124" s="125" t="s">
        <v>41</v>
      </c>
      <c r="P124" s="125" t="s">
        <v>41</v>
      </c>
      <c r="Q124" s="56">
        <v>0.69178695868591344</v>
      </c>
      <c r="R124" s="125">
        <v>0.69178695868591344</v>
      </c>
      <c r="S124" s="97" t="s">
        <v>113</v>
      </c>
      <c r="Y124" s="99">
        <v>0</v>
      </c>
      <c r="Z124" s="99">
        <v>0</v>
      </c>
      <c r="AA124" s="99">
        <v>0</v>
      </c>
      <c r="AB124" s="99">
        <v>0</v>
      </c>
      <c r="AG124" s="99">
        <v>6949</v>
      </c>
      <c r="AH124" s="99">
        <v>6949</v>
      </c>
      <c r="AI124" s="99">
        <v>3096</v>
      </c>
      <c r="AJ124" s="99">
        <v>3096</v>
      </c>
    </row>
    <row r="125" spans="2:36" x14ac:dyDescent="0.15">
      <c r="B125" s="123" t="s">
        <v>461</v>
      </c>
      <c r="C125" s="123" t="s">
        <v>869</v>
      </c>
      <c r="D125" s="124" t="s">
        <v>462</v>
      </c>
      <c r="E125" s="116">
        <v>0</v>
      </c>
      <c r="F125" s="116">
        <v>0</v>
      </c>
      <c r="G125" s="116">
        <v>0</v>
      </c>
      <c r="H125" s="116">
        <v>0</v>
      </c>
      <c r="I125" s="116">
        <v>0</v>
      </c>
      <c r="J125" s="116">
        <v>0</v>
      </c>
      <c r="K125" s="116">
        <v>0</v>
      </c>
      <c r="L125" s="116">
        <v>0</v>
      </c>
      <c r="M125" s="125" t="s">
        <v>41</v>
      </c>
      <c r="N125" s="125" t="s">
        <v>41</v>
      </c>
      <c r="O125" s="125" t="s">
        <v>41</v>
      </c>
      <c r="P125" s="125" t="s">
        <v>41</v>
      </c>
      <c r="Q125" s="56">
        <v>1</v>
      </c>
      <c r="R125" s="125">
        <v>1</v>
      </c>
      <c r="S125" s="97" t="s">
        <v>61</v>
      </c>
      <c r="Y125" s="99">
        <v>0</v>
      </c>
      <c r="Z125" s="99">
        <v>0</v>
      </c>
      <c r="AA125" s="99">
        <v>0</v>
      </c>
      <c r="AB125" s="99">
        <v>0</v>
      </c>
      <c r="AG125" s="99">
        <v>492</v>
      </c>
      <c r="AH125" s="99">
        <v>492</v>
      </c>
      <c r="AI125" s="99">
        <v>0</v>
      </c>
      <c r="AJ125" s="99">
        <v>0</v>
      </c>
    </row>
    <row r="126" spans="2:36" x14ac:dyDescent="0.15">
      <c r="B126" s="123" t="s">
        <v>519</v>
      </c>
      <c r="C126" s="123" t="s">
        <v>869</v>
      </c>
      <c r="D126" s="124" t="s">
        <v>520</v>
      </c>
      <c r="E126" s="116">
        <v>0</v>
      </c>
      <c r="F126" s="116">
        <v>0</v>
      </c>
      <c r="G126" s="116">
        <v>0</v>
      </c>
      <c r="H126" s="116">
        <v>0</v>
      </c>
      <c r="I126" s="116">
        <v>0</v>
      </c>
      <c r="J126" s="116">
        <v>0</v>
      </c>
      <c r="K126" s="116">
        <v>0</v>
      </c>
      <c r="L126" s="116">
        <v>0</v>
      </c>
      <c r="M126" s="125" t="s">
        <v>41</v>
      </c>
      <c r="N126" s="125" t="s">
        <v>41</v>
      </c>
      <c r="O126" s="125" t="s">
        <v>41</v>
      </c>
      <c r="P126" s="125" t="s">
        <v>41</v>
      </c>
      <c r="Q126" s="56">
        <v>0.61803699056140537</v>
      </c>
      <c r="R126" s="125">
        <v>0.61803699056140537</v>
      </c>
      <c r="S126" s="97" t="s">
        <v>83</v>
      </c>
      <c r="Y126" s="99">
        <v>0</v>
      </c>
      <c r="Z126" s="99">
        <v>0</v>
      </c>
      <c r="AA126" s="99">
        <v>0</v>
      </c>
      <c r="AB126" s="99">
        <v>0</v>
      </c>
      <c r="AG126" s="99">
        <v>11328</v>
      </c>
      <c r="AH126" s="99">
        <v>11328</v>
      </c>
      <c r="AI126" s="99">
        <v>7001</v>
      </c>
      <c r="AJ126" s="99">
        <v>7001</v>
      </c>
    </row>
    <row r="127" spans="2:36" x14ac:dyDescent="0.15">
      <c r="B127" s="123" t="s">
        <v>416</v>
      </c>
      <c r="C127" s="123" t="s">
        <v>873</v>
      </c>
      <c r="D127" s="124" t="s">
        <v>736</v>
      </c>
      <c r="E127" s="116">
        <v>0</v>
      </c>
      <c r="F127" s="116">
        <v>0</v>
      </c>
      <c r="G127" s="116">
        <v>0</v>
      </c>
      <c r="H127" s="116">
        <v>0</v>
      </c>
      <c r="I127" s="116">
        <v>0</v>
      </c>
      <c r="J127" s="116">
        <v>0</v>
      </c>
      <c r="K127" s="116">
        <v>0</v>
      </c>
      <c r="L127" s="116">
        <v>0</v>
      </c>
      <c r="M127" s="125" t="s">
        <v>41</v>
      </c>
      <c r="N127" s="125" t="s">
        <v>41</v>
      </c>
      <c r="O127" s="125" t="s">
        <v>41</v>
      </c>
      <c r="P127" s="125" t="s">
        <v>41</v>
      </c>
      <c r="Q127" s="56">
        <v>0.85881410256410251</v>
      </c>
      <c r="R127" s="125">
        <v>0.85881410256410251</v>
      </c>
      <c r="S127" s="97" t="s">
        <v>55</v>
      </c>
      <c r="Y127" s="99">
        <v>0</v>
      </c>
      <c r="Z127" s="99">
        <v>0</v>
      </c>
      <c r="AA127" s="99">
        <v>0</v>
      </c>
      <c r="AB127" s="99">
        <v>0</v>
      </c>
      <c r="AG127" s="99">
        <v>5359</v>
      </c>
      <c r="AH127" s="99">
        <v>5359</v>
      </c>
      <c r="AI127" s="99">
        <v>881</v>
      </c>
      <c r="AJ127" s="99">
        <v>881</v>
      </c>
    </row>
    <row r="128" spans="2:36" x14ac:dyDescent="0.15">
      <c r="B128" s="123" t="s">
        <v>485</v>
      </c>
      <c r="C128" s="123" t="s">
        <v>873</v>
      </c>
      <c r="D128" s="124" t="s">
        <v>486</v>
      </c>
      <c r="E128" s="116">
        <v>460</v>
      </c>
      <c r="F128" s="116">
        <v>0</v>
      </c>
      <c r="G128" s="116">
        <v>419</v>
      </c>
      <c r="H128" s="116">
        <v>879</v>
      </c>
      <c r="I128" s="116">
        <v>209</v>
      </c>
      <c r="J128" s="116">
        <v>0</v>
      </c>
      <c r="K128" s="116">
        <v>0</v>
      </c>
      <c r="L128" s="116">
        <v>209</v>
      </c>
      <c r="M128" s="125">
        <v>0.76222980659840733</v>
      </c>
      <c r="N128" s="125">
        <v>0.54565217391304344</v>
      </c>
      <c r="O128" s="125" t="s">
        <v>41</v>
      </c>
      <c r="P128" s="125">
        <v>1</v>
      </c>
      <c r="Q128" s="56">
        <v>0.7596368183548089</v>
      </c>
      <c r="R128" s="125">
        <v>0.75975508509755085</v>
      </c>
      <c r="S128" s="97" t="s">
        <v>77</v>
      </c>
      <c r="Y128" s="99">
        <v>251</v>
      </c>
      <c r="Z128" s="99">
        <v>0</v>
      </c>
      <c r="AA128" s="99">
        <v>419</v>
      </c>
      <c r="AB128" s="99">
        <v>670</v>
      </c>
      <c r="AG128" s="99">
        <v>13972</v>
      </c>
      <c r="AH128" s="99">
        <v>14642</v>
      </c>
      <c r="AI128" s="99">
        <v>4421</v>
      </c>
      <c r="AJ128" s="99">
        <v>4630</v>
      </c>
    </row>
    <row r="129" spans="2:36" x14ac:dyDescent="0.15">
      <c r="B129" s="123" t="s">
        <v>463</v>
      </c>
      <c r="C129" s="123" t="s">
        <v>873</v>
      </c>
      <c r="D129" s="124" t="s">
        <v>464</v>
      </c>
      <c r="E129" s="116">
        <v>6</v>
      </c>
      <c r="F129" s="116">
        <v>0</v>
      </c>
      <c r="G129" s="116">
        <v>0</v>
      </c>
      <c r="H129" s="116">
        <v>6</v>
      </c>
      <c r="I129" s="116">
        <v>2</v>
      </c>
      <c r="J129" s="116">
        <v>0</v>
      </c>
      <c r="K129" s="116">
        <v>0</v>
      </c>
      <c r="L129" s="116">
        <v>2</v>
      </c>
      <c r="M129" s="125">
        <v>0.66666666666666663</v>
      </c>
      <c r="N129" s="125">
        <v>0.66666666666666663</v>
      </c>
      <c r="O129" s="125" t="s">
        <v>41</v>
      </c>
      <c r="P129" s="125" t="s">
        <v>41</v>
      </c>
      <c r="Q129" s="56">
        <v>0.63336774398475348</v>
      </c>
      <c r="R129" s="125">
        <v>0.63338360187316456</v>
      </c>
      <c r="S129" s="97" t="s">
        <v>73</v>
      </c>
      <c r="Y129" s="99">
        <v>4</v>
      </c>
      <c r="Z129" s="99">
        <v>0</v>
      </c>
      <c r="AA129" s="99">
        <v>0</v>
      </c>
      <c r="AB129" s="99">
        <v>4</v>
      </c>
      <c r="AG129" s="99">
        <v>7976</v>
      </c>
      <c r="AH129" s="99">
        <v>7980</v>
      </c>
      <c r="AI129" s="99">
        <v>4617</v>
      </c>
      <c r="AJ129" s="99">
        <v>4619</v>
      </c>
    </row>
    <row r="130" spans="2:36" x14ac:dyDescent="0.15">
      <c r="B130" s="123" t="s">
        <v>417</v>
      </c>
      <c r="C130" s="123" t="s">
        <v>873</v>
      </c>
      <c r="D130" s="124" t="s">
        <v>737</v>
      </c>
      <c r="E130" s="116">
        <v>0</v>
      </c>
      <c r="F130" s="116">
        <v>0</v>
      </c>
      <c r="G130" s="116">
        <v>0</v>
      </c>
      <c r="H130" s="116">
        <v>0</v>
      </c>
      <c r="I130" s="116">
        <v>0</v>
      </c>
      <c r="J130" s="116">
        <v>0</v>
      </c>
      <c r="K130" s="116">
        <v>0</v>
      </c>
      <c r="L130" s="116">
        <v>0</v>
      </c>
      <c r="M130" s="125" t="s">
        <v>41</v>
      </c>
      <c r="N130" s="125" t="s">
        <v>41</v>
      </c>
      <c r="O130" s="125" t="s">
        <v>41</v>
      </c>
      <c r="P130" s="125" t="s">
        <v>41</v>
      </c>
      <c r="Q130" s="56">
        <v>0.61848778238819735</v>
      </c>
      <c r="R130" s="125">
        <v>0.61848778238819735</v>
      </c>
      <c r="S130" s="97" t="s">
        <v>55</v>
      </c>
      <c r="Y130" s="99">
        <v>0</v>
      </c>
      <c r="Z130" s="99">
        <v>0</v>
      </c>
      <c r="AA130" s="99">
        <v>0</v>
      </c>
      <c r="AB130" s="99">
        <v>0</v>
      </c>
      <c r="AG130" s="99">
        <v>5366</v>
      </c>
      <c r="AH130" s="99">
        <v>5366</v>
      </c>
      <c r="AI130" s="99">
        <v>3310</v>
      </c>
      <c r="AJ130" s="99">
        <v>3310</v>
      </c>
    </row>
    <row r="131" spans="2:36" x14ac:dyDescent="0.15">
      <c r="B131" s="123" t="s">
        <v>418</v>
      </c>
      <c r="C131" s="123" t="s">
        <v>873</v>
      </c>
      <c r="D131" s="124" t="s">
        <v>419</v>
      </c>
      <c r="E131" s="116">
        <v>77</v>
      </c>
      <c r="F131" s="116">
        <v>0</v>
      </c>
      <c r="G131" s="116">
        <v>58</v>
      </c>
      <c r="H131" s="116">
        <v>135</v>
      </c>
      <c r="I131" s="116">
        <v>0</v>
      </c>
      <c r="J131" s="116">
        <v>0</v>
      </c>
      <c r="K131" s="116">
        <v>0</v>
      </c>
      <c r="L131" s="116">
        <v>0</v>
      </c>
      <c r="M131" s="125">
        <v>1</v>
      </c>
      <c r="N131" s="125">
        <v>1</v>
      </c>
      <c r="O131" s="125" t="s">
        <v>41</v>
      </c>
      <c r="P131" s="125">
        <v>1</v>
      </c>
      <c r="Q131" s="56">
        <v>0.4839606501283148</v>
      </c>
      <c r="R131" s="125">
        <v>0.49844107254209102</v>
      </c>
      <c r="S131" s="97" t="s">
        <v>55</v>
      </c>
      <c r="Y131" s="99">
        <v>77</v>
      </c>
      <c r="Z131" s="99">
        <v>0</v>
      </c>
      <c r="AA131" s="99">
        <v>58</v>
      </c>
      <c r="AB131" s="99">
        <v>135</v>
      </c>
      <c r="AG131" s="99">
        <v>2263</v>
      </c>
      <c r="AH131" s="99">
        <v>2398</v>
      </c>
      <c r="AI131" s="99">
        <v>2413</v>
      </c>
      <c r="AJ131" s="99">
        <v>2413</v>
      </c>
    </row>
    <row r="132" spans="2:36" x14ac:dyDescent="0.15">
      <c r="B132" s="123" t="s">
        <v>487</v>
      </c>
      <c r="C132" s="123" t="s">
        <v>873</v>
      </c>
      <c r="D132" s="124" t="s">
        <v>488</v>
      </c>
      <c r="E132" s="116">
        <v>0</v>
      </c>
      <c r="F132" s="116">
        <v>0</v>
      </c>
      <c r="G132" s="116">
        <v>0</v>
      </c>
      <c r="H132" s="116">
        <v>0</v>
      </c>
      <c r="I132" s="116">
        <v>0</v>
      </c>
      <c r="J132" s="116">
        <v>0</v>
      </c>
      <c r="K132" s="116">
        <v>0</v>
      </c>
      <c r="L132" s="116">
        <v>0</v>
      </c>
      <c r="M132" s="125" t="s">
        <v>41</v>
      </c>
      <c r="N132" s="125" t="s">
        <v>41</v>
      </c>
      <c r="O132" s="125" t="s">
        <v>41</v>
      </c>
      <c r="P132" s="125" t="s">
        <v>41</v>
      </c>
      <c r="Q132" s="56">
        <v>0.75619998415339518</v>
      </c>
      <c r="R132" s="125">
        <v>0.75619998415339518</v>
      </c>
      <c r="S132" s="97" t="s">
        <v>77</v>
      </c>
      <c r="Y132" s="99">
        <v>0</v>
      </c>
      <c r="Z132" s="99">
        <v>0</v>
      </c>
      <c r="AA132" s="99">
        <v>0</v>
      </c>
      <c r="AB132" s="99">
        <v>0</v>
      </c>
      <c r="AG132" s="99">
        <v>19088</v>
      </c>
      <c r="AH132" s="99">
        <v>19088</v>
      </c>
      <c r="AI132" s="99">
        <v>6154</v>
      </c>
      <c r="AJ132" s="99">
        <v>6154</v>
      </c>
    </row>
    <row r="133" spans="2:36" x14ac:dyDescent="0.15">
      <c r="B133" s="123" t="s">
        <v>489</v>
      </c>
      <c r="C133" s="123" t="s">
        <v>873</v>
      </c>
      <c r="D133" s="124" t="s">
        <v>490</v>
      </c>
      <c r="E133" s="116">
        <v>227</v>
      </c>
      <c r="F133" s="116">
        <v>0</v>
      </c>
      <c r="G133" s="116">
        <v>69</v>
      </c>
      <c r="H133" s="116">
        <v>296</v>
      </c>
      <c r="I133" s="116">
        <v>33</v>
      </c>
      <c r="J133" s="116">
        <v>0</v>
      </c>
      <c r="K133" s="116">
        <v>1</v>
      </c>
      <c r="L133" s="116">
        <v>34</v>
      </c>
      <c r="M133" s="125">
        <v>0.88513513513513509</v>
      </c>
      <c r="N133" s="125">
        <v>0.85462555066079293</v>
      </c>
      <c r="O133" s="125" t="s">
        <v>41</v>
      </c>
      <c r="P133" s="125">
        <v>0.98550724637681164</v>
      </c>
      <c r="Q133" s="56">
        <v>0.72665798126434644</v>
      </c>
      <c r="R133" s="125">
        <v>0.7295156868717636</v>
      </c>
      <c r="S133" s="97" t="s">
        <v>77</v>
      </c>
      <c r="Y133" s="99">
        <v>194</v>
      </c>
      <c r="Z133" s="99">
        <v>0</v>
      </c>
      <c r="AA133" s="99">
        <v>68</v>
      </c>
      <c r="AB133" s="99">
        <v>262</v>
      </c>
      <c r="AG133" s="99">
        <v>11713</v>
      </c>
      <c r="AH133" s="99">
        <v>11975</v>
      </c>
      <c r="AI133" s="99">
        <v>4406</v>
      </c>
      <c r="AJ133" s="99">
        <v>4440</v>
      </c>
    </row>
    <row r="134" spans="2:36" x14ac:dyDescent="0.15">
      <c r="B134" s="123" t="s">
        <v>422</v>
      </c>
      <c r="C134" s="123" t="s">
        <v>873</v>
      </c>
      <c r="D134" s="124" t="s">
        <v>822</v>
      </c>
      <c r="E134" s="116">
        <v>0</v>
      </c>
      <c r="F134" s="116">
        <v>0</v>
      </c>
      <c r="G134" s="116">
        <v>0</v>
      </c>
      <c r="H134" s="116">
        <v>0</v>
      </c>
      <c r="I134" s="116">
        <v>0</v>
      </c>
      <c r="J134" s="116">
        <v>0</v>
      </c>
      <c r="K134" s="116">
        <v>0</v>
      </c>
      <c r="L134" s="116">
        <v>0</v>
      </c>
      <c r="M134" s="125" t="s">
        <v>41</v>
      </c>
      <c r="N134" s="125" t="s">
        <v>41</v>
      </c>
      <c r="O134" s="125" t="s">
        <v>41</v>
      </c>
      <c r="P134" s="125" t="s">
        <v>41</v>
      </c>
      <c r="Q134" s="56" t="s">
        <v>41</v>
      </c>
      <c r="R134" s="125" t="s">
        <v>41</v>
      </c>
      <c r="S134" s="97" t="s">
        <v>55</v>
      </c>
      <c r="Y134" s="99">
        <v>0</v>
      </c>
      <c r="Z134" s="99">
        <v>0</v>
      </c>
      <c r="AA134" s="99">
        <v>0</v>
      </c>
      <c r="AB134" s="99">
        <v>0</v>
      </c>
      <c r="AG134" s="99">
        <v>0</v>
      </c>
      <c r="AH134" s="99">
        <v>0</v>
      </c>
      <c r="AI134" s="99">
        <v>0</v>
      </c>
      <c r="AJ134" s="99">
        <v>0</v>
      </c>
    </row>
    <row r="135" spans="2:36" x14ac:dyDescent="0.15">
      <c r="B135" s="123" t="s">
        <v>429</v>
      </c>
      <c r="C135" s="123" t="s">
        <v>873</v>
      </c>
      <c r="D135" s="124" t="s">
        <v>430</v>
      </c>
      <c r="E135" s="116">
        <v>557</v>
      </c>
      <c r="F135" s="116">
        <v>0</v>
      </c>
      <c r="G135" s="116">
        <v>0</v>
      </c>
      <c r="H135" s="116">
        <v>557</v>
      </c>
      <c r="I135" s="116">
        <v>266</v>
      </c>
      <c r="J135" s="116">
        <v>0</v>
      </c>
      <c r="K135" s="116">
        <v>0</v>
      </c>
      <c r="L135" s="116">
        <v>266</v>
      </c>
      <c r="M135" s="125">
        <v>0.52244165170556556</v>
      </c>
      <c r="N135" s="125">
        <v>0.52244165170556556</v>
      </c>
      <c r="O135" s="125" t="s">
        <v>41</v>
      </c>
      <c r="P135" s="125" t="s">
        <v>41</v>
      </c>
      <c r="Q135" s="56">
        <v>0.66944484707928686</v>
      </c>
      <c r="R135" s="125">
        <v>0.66653642595815721</v>
      </c>
      <c r="S135" s="97" t="s">
        <v>55</v>
      </c>
      <c r="Y135" s="99">
        <v>291</v>
      </c>
      <c r="Z135" s="99">
        <v>0</v>
      </c>
      <c r="AA135" s="99">
        <v>0</v>
      </c>
      <c r="AB135" s="99">
        <v>291</v>
      </c>
      <c r="AG135" s="99">
        <v>18474</v>
      </c>
      <c r="AH135" s="99">
        <v>18765</v>
      </c>
      <c r="AI135" s="99">
        <v>9122</v>
      </c>
      <c r="AJ135" s="99">
        <v>9388</v>
      </c>
    </row>
    <row r="136" spans="2:36" x14ac:dyDescent="0.15">
      <c r="B136" s="123" t="s">
        <v>423</v>
      </c>
      <c r="C136" s="123" t="s">
        <v>873</v>
      </c>
      <c r="D136" s="124" t="s">
        <v>738</v>
      </c>
      <c r="E136" s="116">
        <v>0</v>
      </c>
      <c r="F136" s="116">
        <v>0</v>
      </c>
      <c r="G136" s="116">
        <v>0</v>
      </c>
      <c r="H136" s="116">
        <v>0</v>
      </c>
      <c r="I136" s="116">
        <v>0</v>
      </c>
      <c r="J136" s="116">
        <v>0</v>
      </c>
      <c r="K136" s="116">
        <v>0</v>
      </c>
      <c r="L136" s="116">
        <v>0</v>
      </c>
      <c r="M136" s="125" t="s">
        <v>41</v>
      </c>
      <c r="N136" s="125" t="s">
        <v>41</v>
      </c>
      <c r="O136" s="125" t="s">
        <v>41</v>
      </c>
      <c r="P136" s="125" t="s">
        <v>41</v>
      </c>
      <c r="Q136" s="56">
        <v>0.8863361547762999</v>
      </c>
      <c r="R136" s="125">
        <v>0.8863361547762999</v>
      </c>
      <c r="S136" s="97" t="s">
        <v>55</v>
      </c>
      <c r="Y136" s="99">
        <v>0</v>
      </c>
      <c r="Z136" s="99">
        <v>0</v>
      </c>
      <c r="AA136" s="99">
        <v>0</v>
      </c>
      <c r="AB136" s="99">
        <v>0</v>
      </c>
      <c r="AG136" s="99">
        <v>1466</v>
      </c>
      <c r="AH136" s="99">
        <v>1466</v>
      </c>
      <c r="AI136" s="99">
        <v>188</v>
      </c>
      <c r="AJ136" s="99">
        <v>188</v>
      </c>
    </row>
    <row r="137" spans="2:36" x14ac:dyDescent="0.15">
      <c r="B137" s="123" t="s">
        <v>469</v>
      </c>
      <c r="C137" s="123" t="s">
        <v>873</v>
      </c>
      <c r="D137" s="124" t="s">
        <v>470</v>
      </c>
      <c r="E137" s="116">
        <v>3064</v>
      </c>
      <c r="F137" s="116">
        <v>467</v>
      </c>
      <c r="G137" s="116">
        <v>753</v>
      </c>
      <c r="H137" s="116">
        <v>4284</v>
      </c>
      <c r="I137" s="116">
        <v>1172</v>
      </c>
      <c r="J137" s="116">
        <v>59</v>
      </c>
      <c r="K137" s="116">
        <v>30</v>
      </c>
      <c r="L137" s="116">
        <v>1261</v>
      </c>
      <c r="M137" s="125">
        <v>0.70564892623716158</v>
      </c>
      <c r="N137" s="125">
        <v>0.61749347258485643</v>
      </c>
      <c r="O137" s="125">
        <v>0.87366167023554608</v>
      </c>
      <c r="P137" s="125">
        <v>0.96015936254980083</v>
      </c>
      <c r="Q137" s="56">
        <v>0.71775947434177034</v>
      </c>
      <c r="R137" s="125">
        <v>0.71666736833242117</v>
      </c>
      <c r="S137" s="97" t="s">
        <v>73</v>
      </c>
      <c r="Y137" s="99">
        <v>1892</v>
      </c>
      <c r="Z137" s="99">
        <v>408</v>
      </c>
      <c r="AA137" s="99">
        <v>723</v>
      </c>
      <c r="AB137" s="99">
        <v>3023</v>
      </c>
      <c r="AG137" s="99">
        <v>31023</v>
      </c>
      <c r="AH137" s="99">
        <v>34046</v>
      </c>
      <c r="AI137" s="99">
        <v>12199</v>
      </c>
      <c r="AJ137" s="99">
        <v>13460</v>
      </c>
    </row>
    <row r="138" spans="2:36" x14ac:dyDescent="0.15">
      <c r="B138" s="123" t="s">
        <v>433</v>
      </c>
      <c r="C138" s="123" t="s">
        <v>873</v>
      </c>
      <c r="D138" s="124" t="s">
        <v>434</v>
      </c>
      <c r="E138" s="116">
        <v>182</v>
      </c>
      <c r="F138" s="116">
        <v>0</v>
      </c>
      <c r="G138" s="116">
        <v>0</v>
      </c>
      <c r="H138" s="116">
        <v>182</v>
      </c>
      <c r="I138" s="116">
        <v>41</v>
      </c>
      <c r="J138" s="116">
        <v>0</v>
      </c>
      <c r="K138" s="116">
        <v>0</v>
      </c>
      <c r="L138" s="116">
        <v>41</v>
      </c>
      <c r="M138" s="125">
        <v>0.77472527472527475</v>
      </c>
      <c r="N138" s="125">
        <v>0.77472527472527475</v>
      </c>
      <c r="O138" s="125" t="s">
        <v>41</v>
      </c>
      <c r="P138" s="125" t="s">
        <v>41</v>
      </c>
      <c r="Q138" s="56">
        <v>0.73298138371769939</v>
      </c>
      <c r="R138" s="125">
        <v>0.73328078817733988</v>
      </c>
      <c r="S138" s="97" t="s">
        <v>55</v>
      </c>
      <c r="Y138" s="99">
        <v>141</v>
      </c>
      <c r="Z138" s="99">
        <v>0</v>
      </c>
      <c r="AA138" s="99">
        <v>0</v>
      </c>
      <c r="AB138" s="99">
        <v>141</v>
      </c>
      <c r="AG138" s="99">
        <v>18466</v>
      </c>
      <c r="AH138" s="99">
        <v>18607</v>
      </c>
      <c r="AI138" s="99">
        <v>6727</v>
      </c>
      <c r="AJ138" s="99">
        <v>6768</v>
      </c>
    </row>
    <row r="139" spans="2:36" x14ac:dyDescent="0.15">
      <c r="B139" s="123" t="s">
        <v>424</v>
      </c>
      <c r="C139" s="123" t="s">
        <v>873</v>
      </c>
      <c r="D139" s="124" t="s">
        <v>425</v>
      </c>
      <c r="E139" s="116">
        <v>0</v>
      </c>
      <c r="F139" s="116">
        <v>0</v>
      </c>
      <c r="G139" s="116">
        <v>0</v>
      </c>
      <c r="H139" s="116">
        <v>0</v>
      </c>
      <c r="I139" s="116">
        <v>0</v>
      </c>
      <c r="J139" s="116">
        <v>0</v>
      </c>
      <c r="K139" s="116">
        <v>0</v>
      </c>
      <c r="L139" s="116">
        <v>0</v>
      </c>
      <c r="M139" s="125" t="s">
        <v>41</v>
      </c>
      <c r="N139" s="125" t="s">
        <v>41</v>
      </c>
      <c r="O139" s="125" t="s">
        <v>41</v>
      </c>
      <c r="P139" s="125" t="s">
        <v>41</v>
      </c>
      <c r="Q139" s="56">
        <v>0.97967395074575092</v>
      </c>
      <c r="R139" s="125">
        <v>0.97967395074575092</v>
      </c>
      <c r="S139" s="97" t="s">
        <v>55</v>
      </c>
      <c r="Y139" s="99">
        <v>0</v>
      </c>
      <c r="Z139" s="99">
        <v>0</v>
      </c>
      <c r="AA139" s="99">
        <v>0</v>
      </c>
      <c r="AB139" s="99">
        <v>0</v>
      </c>
      <c r="AG139" s="99">
        <v>14122</v>
      </c>
      <c r="AH139" s="99">
        <v>14122</v>
      </c>
      <c r="AI139" s="99">
        <v>293</v>
      </c>
      <c r="AJ139" s="99">
        <v>293</v>
      </c>
    </row>
    <row r="140" spans="2:36" x14ac:dyDescent="0.15">
      <c r="B140" s="123" t="s">
        <v>426</v>
      </c>
      <c r="C140" s="123" t="s">
        <v>873</v>
      </c>
      <c r="D140" s="124" t="s">
        <v>427</v>
      </c>
      <c r="E140" s="116">
        <v>0</v>
      </c>
      <c r="F140" s="116">
        <v>0</v>
      </c>
      <c r="G140" s="116">
        <v>100</v>
      </c>
      <c r="H140" s="116">
        <v>100</v>
      </c>
      <c r="I140" s="116">
        <v>0</v>
      </c>
      <c r="J140" s="116">
        <v>0</v>
      </c>
      <c r="K140" s="116">
        <v>0</v>
      </c>
      <c r="L140" s="116">
        <v>0</v>
      </c>
      <c r="M140" s="125">
        <v>1</v>
      </c>
      <c r="N140" s="125" t="s">
        <v>41</v>
      </c>
      <c r="O140" s="125" t="s">
        <v>41</v>
      </c>
      <c r="P140" s="125">
        <v>1</v>
      </c>
      <c r="Q140" s="56">
        <v>0.64831630722663636</v>
      </c>
      <c r="R140" s="125">
        <v>0.65161169415292353</v>
      </c>
      <c r="S140" s="97" t="s">
        <v>55</v>
      </c>
      <c r="Y140" s="99">
        <v>0</v>
      </c>
      <c r="Z140" s="99">
        <v>0</v>
      </c>
      <c r="AA140" s="99">
        <v>100</v>
      </c>
      <c r="AB140" s="99">
        <v>100</v>
      </c>
      <c r="AG140" s="99">
        <v>6854</v>
      </c>
      <c r="AH140" s="99">
        <v>6954</v>
      </c>
      <c r="AI140" s="99">
        <v>3718</v>
      </c>
      <c r="AJ140" s="99">
        <v>3718</v>
      </c>
    </row>
    <row r="141" spans="2:36" x14ac:dyDescent="0.15">
      <c r="B141" s="123" t="s">
        <v>428</v>
      </c>
      <c r="C141" s="123" t="s">
        <v>873</v>
      </c>
      <c r="D141" s="124" t="s">
        <v>823</v>
      </c>
      <c r="E141" s="116">
        <v>0</v>
      </c>
      <c r="F141" s="116">
        <v>0</v>
      </c>
      <c r="G141" s="116">
        <v>0</v>
      </c>
      <c r="H141" s="116">
        <v>0</v>
      </c>
      <c r="I141" s="116">
        <v>0</v>
      </c>
      <c r="J141" s="116">
        <v>0</v>
      </c>
      <c r="K141" s="116">
        <v>0</v>
      </c>
      <c r="L141" s="116">
        <v>0</v>
      </c>
      <c r="M141" s="125" t="s">
        <v>41</v>
      </c>
      <c r="N141" s="125" t="s">
        <v>41</v>
      </c>
      <c r="O141" s="125" t="s">
        <v>41</v>
      </c>
      <c r="P141" s="125" t="s">
        <v>41</v>
      </c>
      <c r="Q141" s="56">
        <v>1</v>
      </c>
      <c r="R141" s="125">
        <v>1</v>
      </c>
      <c r="S141" s="97" t="s">
        <v>55</v>
      </c>
      <c r="Y141" s="99">
        <v>0</v>
      </c>
      <c r="Z141" s="99">
        <v>0</v>
      </c>
      <c r="AA141" s="99">
        <v>0</v>
      </c>
      <c r="AB141" s="99">
        <v>0</v>
      </c>
      <c r="AG141" s="99">
        <v>1662</v>
      </c>
      <c r="AH141" s="99">
        <v>1662</v>
      </c>
      <c r="AI141" s="99">
        <v>0</v>
      </c>
      <c r="AJ141" s="99">
        <v>0</v>
      </c>
    </row>
    <row r="142" spans="2:36" x14ac:dyDescent="0.15">
      <c r="B142" s="123" t="s">
        <v>437</v>
      </c>
      <c r="C142" s="123" t="s">
        <v>873</v>
      </c>
      <c r="D142" s="124" t="s">
        <v>866</v>
      </c>
      <c r="E142" s="116">
        <v>305</v>
      </c>
      <c r="F142" s="116">
        <v>0</v>
      </c>
      <c r="G142" s="116">
        <v>401</v>
      </c>
      <c r="H142" s="116">
        <v>706</v>
      </c>
      <c r="I142" s="116">
        <v>91</v>
      </c>
      <c r="J142" s="116">
        <v>0</v>
      </c>
      <c r="K142" s="116">
        <v>4</v>
      </c>
      <c r="L142" s="116">
        <v>95</v>
      </c>
      <c r="M142" s="125">
        <v>0.86543909348441928</v>
      </c>
      <c r="N142" s="125">
        <v>0.70163934426229513</v>
      </c>
      <c r="O142" s="125" t="s">
        <v>41</v>
      </c>
      <c r="P142" s="125">
        <v>0.9900249376558603</v>
      </c>
      <c r="Q142" s="56">
        <v>0.74563179602549678</v>
      </c>
      <c r="R142" s="125">
        <v>0.75165586496688275</v>
      </c>
      <c r="S142" s="97" t="s">
        <v>55</v>
      </c>
      <c r="Y142" s="99">
        <v>214</v>
      </c>
      <c r="Z142" s="99">
        <v>0</v>
      </c>
      <c r="AA142" s="99">
        <v>397</v>
      </c>
      <c r="AB142" s="99">
        <v>611</v>
      </c>
      <c r="AG142" s="99">
        <v>9943</v>
      </c>
      <c r="AH142" s="99">
        <v>10554</v>
      </c>
      <c r="AI142" s="99">
        <v>3392</v>
      </c>
      <c r="AJ142" s="99">
        <v>3487</v>
      </c>
    </row>
    <row r="143" spans="2:36" x14ac:dyDescent="0.15">
      <c r="B143" s="123" t="s">
        <v>475</v>
      </c>
      <c r="C143" s="123" t="s">
        <v>873</v>
      </c>
      <c r="D143" s="124" t="s">
        <v>739</v>
      </c>
      <c r="E143" s="116">
        <v>0</v>
      </c>
      <c r="F143" s="116">
        <v>0</v>
      </c>
      <c r="G143" s="116">
        <v>0</v>
      </c>
      <c r="H143" s="116">
        <v>0</v>
      </c>
      <c r="I143" s="116">
        <v>0</v>
      </c>
      <c r="J143" s="116">
        <v>0</v>
      </c>
      <c r="K143" s="116">
        <v>0</v>
      </c>
      <c r="L143" s="116">
        <v>0</v>
      </c>
      <c r="M143" s="125" t="s">
        <v>41</v>
      </c>
      <c r="N143" s="125" t="s">
        <v>41</v>
      </c>
      <c r="O143" s="125" t="s">
        <v>41</v>
      </c>
      <c r="P143" s="125" t="s">
        <v>41</v>
      </c>
      <c r="Q143" s="56">
        <v>0.70031476061626818</v>
      </c>
      <c r="R143" s="125">
        <v>0.70031476061626818</v>
      </c>
      <c r="S143" s="97" t="s">
        <v>73</v>
      </c>
      <c r="Y143" s="99">
        <v>0</v>
      </c>
      <c r="Z143" s="99">
        <v>0</v>
      </c>
      <c r="AA143" s="99">
        <v>0</v>
      </c>
      <c r="AB143" s="99">
        <v>0</v>
      </c>
      <c r="AG143" s="99">
        <v>25364</v>
      </c>
      <c r="AH143" s="99">
        <v>25364</v>
      </c>
      <c r="AI143" s="99">
        <v>10854</v>
      </c>
      <c r="AJ143" s="99">
        <v>10854</v>
      </c>
    </row>
    <row r="144" spans="2:36" x14ac:dyDescent="0.15">
      <c r="B144" s="123" t="s">
        <v>491</v>
      </c>
      <c r="C144" s="123" t="s">
        <v>873</v>
      </c>
      <c r="D144" s="124" t="s">
        <v>826</v>
      </c>
      <c r="E144" s="116">
        <v>0</v>
      </c>
      <c r="F144" s="116">
        <v>0</v>
      </c>
      <c r="G144" s="116">
        <v>0</v>
      </c>
      <c r="H144" s="116">
        <v>0</v>
      </c>
      <c r="I144" s="116">
        <v>0</v>
      </c>
      <c r="J144" s="116">
        <v>0</v>
      </c>
      <c r="K144" s="116">
        <v>0</v>
      </c>
      <c r="L144" s="116">
        <v>0</v>
      </c>
      <c r="M144" s="125" t="s">
        <v>41</v>
      </c>
      <c r="N144" s="125" t="s">
        <v>41</v>
      </c>
      <c r="O144" s="125" t="s">
        <v>41</v>
      </c>
      <c r="P144" s="125" t="s">
        <v>41</v>
      </c>
      <c r="Q144" s="56">
        <v>0.99615384615384617</v>
      </c>
      <c r="R144" s="125">
        <v>0.99615384615384617</v>
      </c>
      <c r="S144" s="97" t="s">
        <v>77</v>
      </c>
      <c r="Y144" s="99">
        <v>0</v>
      </c>
      <c r="Z144" s="99">
        <v>0</v>
      </c>
      <c r="AA144" s="99">
        <v>0</v>
      </c>
      <c r="AB144" s="99">
        <v>0</v>
      </c>
      <c r="AG144" s="99">
        <v>1036</v>
      </c>
      <c r="AH144" s="99">
        <v>1036</v>
      </c>
      <c r="AI144" s="99">
        <v>4</v>
      </c>
      <c r="AJ144" s="99">
        <v>4</v>
      </c>
    </row>
    <row r="145" spans="2:36" x14ac:dyDescent="0.15">
      <c r="B145" s="123" t="s">
        <v>493</v>
      </c>
      <c r="C145" s="123" t="s">
        <v>873</v>
      </c>
      <c r="D145" s="124" t="s">
        <v>494</v>
      </c>
      <c r="E145" s="116">
        <v>0</v>
      </c>
      <c r="F145" s="116">
        <v>0</v>
      </c>
      <c r="G145" s="116">
        <v>0</v>
      </c>
      <c r="H145" s="116">
        <v>0</v>
      </c>
      <c r="I145" s="116">
        <v>0</v>
      </c>
      <c r="J145" s="116">
        <v>0</v>
      </c>
      <c r="K145" s="116">
        <v>0</v>
      </c>
      <c r="L145" s="116">
        <v>0</v>
      </c>
      <c r="M145" s="125" t="s">
        <v>41</v>
      </c>
      <c r="N145" s="125" t="s">
        <v>41</v>
      </c>
      <c r="O145" s="125" t="s">
        <v>41</v>
      </c>
      <c r="P145" s="125" t="s">
        <v>41</v>
      </c>
      <c r="Q145" s="56">
        <v>0.99203919167176979</v>
      </c>
      <c r="R145" s="125">
        <v>0.99203919167176979</v>
      </c>
      <c r="S145" s="97" t="s">
        <v>77</v>
      </c>
      <c r="Y145" s="99">
        <v>0</v>
      </c>
      <c r="Z145" s="99">
        <v>0</v>
      </c>
      <c r="AA145" s="99">
        <v>0</v>
      </c>
      <c r="AB145" s="99">
        <v>0</v>
      </c>
      <c r="AG145" s="99">
        <v>1620</v>
      </c>
      <c r="AH145" s="99">
        <v>1620</v>
      </c>
      <c r="AI145" s="99">
        <v>13</v>
      </c>
      <c r="AJ145" s="99">
        <v>13</v>
      </c>
    </row>
    <row r="146" spans="2:36" x14ac:dyDescent="0.15">
      <c r="B146" s="123" t="s">
        <v>477</v>
      </c>
      <c r="C146" s="123" t="s">
        <v>873</v>
      </c>
      <c r="D146" s="124" t="s">
        <v>478</v>
      </c>
      <c r="E146" s="116">
        <v>367</v>
      </c>
      <c r="F146" s="116">
        <v>0</v>
      </c>
      <c r="G146" s="116">
        <v>1477</v>
      </c>
      <c r="H146" s="116">
        <v>1844</v>
      </c>
      <c r="I146" s="116">
        <v>133</v>
      </c>
      <c r="J146" s="116">
        <v>0</v>
      </c>
      <c r="K146" s="116">
        <v>6</v>
      </c>
      <c r="L146" s="116">
        <v>139</v>
      </c>
      <c r="M146" s="125">
        <v>0.92462039045553146</v>
      </c>
      <c r="N146" s="125">
        <v>0.63760217983651224</v>
      </c>
      <c r="O146" s="125" t="s">
        <v>41</v>
      </c>
      <c r="P146" s="125">
        <v>0.99593771157752198</v>
      </c>
      <c r="Q146" s="56">
        <v>0.65876124933827418</v>
      </c>
      <c r="R146" s="125">
        <v>0.70218797059084059</v>
      </c>
      <c r="S146" s="97" t="s">
        <v>73</v>
      </c>
      <c r="Y146" s="99">
        <v>234</v>
      </c>
      <c r="Z146" s="99">
        <v>0</v>
      </c>
      <c r="AA146" s="99">
        <v>1471</v>
      </c>
      <c r="AB146" s="99">
        <v>1705</v>
      </c>
      <c r="AG146" s="99">
        <v>6222</v>
      </c>
      <c r="AH146" s="99">
        <v>7927</v>
      </c>
      <c r="AI146" s="99">
        <v>3223</v>
      </c>
      <c r="AJ146" s="99">
        <v>3362</v>
      </c>
    </row>
    <row r="147" spans="2:36" x14ac:dyDescent="0.15">
      <c r="B147" s="123" t="s">
        <v>479</v>
      </c>
      <c r="C147" s="123" t="s">
        <v>873</v>
      </c>
      <c r="D147" s="124" t="s">
        <v>741</v>
      </c>
      <c r="E147" s="116">
        <v>504</v>
      </c>
      <c r="F147" s="116">
        <v>0</v>
      </c>
      <c r="G147" s="116">
        <v>164</v>
      </c>
      <c r="H147" s="116">
        <v>668</v>
      </c>
      <c r="I147" s="116">
        <v>0</v>
      </c>
      <c r="J147" s="116">
        <v>0</v>
      </c>
      <c r="K147" s="116">
        <v>0</v>
      </c>
      <c r="L147" s="116">
        <v>0</v>
      </c>
      <c r="M147" s="125">
        <v>1</v>
      </c>
      <c r="N147" s="125">
        <v>1</v>
      </c>
      <c r="O147" s="125" t="s">
        <v>41</v>
      </c>
      <c r="P147" s="125">
        <v>1</v>
      </c>
      <c r="Q147" s="56">
        <v>0.5764226922736525</v>
      </c>
      <c r="R147" s="125">
        <v>0.60006685050555697</v>
      </c>
      <c r="S147" s="97" t="s">
        <v>73</v>
      </c>
      <c r="Y147" s="99">
        <v>504</v>
      </c>
      <c r="Z147" s="99">
        <v>0</v>
      </c>
      <c r="AA147" s="99">
        <v>164</v>
      </c>
      <c r="AB147" s="99">
        <v>668</v>
      </c>
      <c r="AG147" s="99">
        <v>6513</v>
      </c>
      <c r="AH147" s="99">
        <v>7181</v>
      </c>
      <c r="AI147" s="99">
        <v>4786</v>
      </c>
      <c r="AJ147" s="99">
        <v>4786</v>
      </c>
    </row>
    <row r="148" spans="2:36" x14ac:dyDescent="0.15">
      <c r="B148" s="123" t="s">
        <v>480</v>
      </c>
      <c r="C148" s="123" t="s">
        <v>873</v>
      </c>
      <c r="D148" s="124" t="s">
        <v>481</v>
      </c>
      <c r="E148" s="116">
        <v>0</v>
      </c>
      <c r="F148" s="116">
        <v>0</v>
      </c>
      <c r="G148" s="116">
        <v>0</v>
      </c>
      <c r="H148" s="116">
        <v>0</v>
      </c>
      <c r="I148" s="116">
        <v>0</v>
      </c>
      <c r="J148" s="116">
        <v>0</v>
      </c>
      <c r="K148" s="116">
        <v>0</v>
      </c>
      <c r="L148" s="116">
        <v>0</v>
      </c>
      <c r="M148" s="125" t="s">
        <v>41</v>
      </c>
      <c r="N148" s="125" t="s">
        <v>41</v>
      </c>
      <c r="O148" s="125" t="s">
        <v>41</v>
      </c>
      <c r="P148" s="125" t="s">
        <v>41</v>
      </c>
      <c r="Q148" s="56" t="s">
        <v>41</v>
      </c>
      <c r="R148" s="125" t="s">
        <v>41</v>
      </c>
      <c r="S148" s="97" t="s">
        <v>73</v>
      </c>
      <c r="Y148" s="99">
        <v>0</v>
      </c>
      <c r="Z148" s="99">
        <v>0</v>
      </c>
      <c r="AA148" s="99">
        <v>0</v>
      </c>
      <c r="AB148" s="99">
        <v>0</v>
      </c>
      <c r="AG148" s="99">
        <v>0</v>
      </c>
      <c r="AH148" s="99">
        <v>0</v>
      </c>
      <c r="AI148" s="99">
        <v>0</v>
      </c>
      <c r="AJ148" s="99">
        <v>0</v>
      </c>
    </row>
    <row r="149" spans="2:36" x14ac:dyDescent="0.15">
      <c r="B149" s="123" t="s">
        <v>435</v>
      </c>
      <c r="C149" s="123" t="s">
        <v>873</v>
      </c>
      <c r="D149" s="124" t="s">
        <v>436</v>
      </c>
      <c r="E149" s="116">
        <v>0</v>
      </c>
      <c r="F149" s="116">
        <v>0</v>
      </c>
      <c r="G149" s="116">
        <v>0</v>
      </c>
      <c r="H149" s="116">
        <v>0</v>
      </c>
      <c r="I149" s="116">
        <v>0</v>
      </c>
      <c r="J149" s="116">
        <v>0</v>
      </c>
      <c r="K149" s="116">
        <v>0</v>
      </c>
      <c r="L149" s="116">
        <v>0</v>
      </c>
      <c r="M149" s="125" t="s">
        <v>41</v>
      </c>
      <c r="N149" s="125" t="s">
        <v>41</v>
      </c>
      <c r="O149" s="125" t="s">
        <v>41</v>
      </c>
      <c r="P149" s="125" t="s">
        <v>41</v>
      </c>
      <c r="Q149" s="56" t="s">
        <v>41</v>
      </c>
      <c r="R149" s="125" t="s">
        <v>41</v>
      </c>
      <c r="S149" s="97" t="s">
        <v>55</v>
      </c>
      <c r="Y149" s="99">
        <v>0</v>
      </c>
      <c r="Z149" s="99">
        <v>0</v>
      </c>
      <c r="AA149" s="99">
        <v>0</v>
      </c>
      <c r="AB149" s="99">
        <v>0</v>
      </c>
      <c r="AG149" s="99">
        <v>0</v>
      </c>
      <c r="AH149" s="99">
        <v>0</v>
      </c>
      <c r="AI149" s="99">
        <v>0</v>
      </c>
      <c r="AJ149" s="99">
        <v>0</v>
      </c>
    </row>
    <row r="150" spans="2:36" x14ac:dyDescent="0.15">
      <c r="B150" s="123" t="s">
        <v>495</v>
      </c>
      <c r="C150" s="123" t="s">
        <v>873</v>
      </c>
      <c r="D150" s="124" t="s">
        <v>742</v>
      </c>
      <c r="E150" s="116">
        <v>105</v>
      </c>
      <c r="F150" s="116">
        <v>0</v>
      </c>
      <c r="G150" s="116">
        <v>1986</v>
      </c>
      <c r="H150" s="116">
        <v>2091</v>
      </c>
      <c r="I150" s="116">
        <v>9</v>
      </c>
      <c r="J150" s="116">
        <v>0</v>
      </c>
      <c r="K150" s="116">
        <v>31</v>
      </c>
      <c r="L150" s="116">
        <v>40</v>
      </c>
      <c r="M150" s="125">
        <v>0.98087039693926348</v>
      </c>
      <c r="N150" s="125">
        <v>0.91428571428571426</v>
      </c>
      <c r="O150" s="125" t="s">
        <v>41</v>
      </c>
      <c r="P150" s="125">
        <v>0.98439073514602216</v>
      </c>
      <c r="Q150" s="56">
        <v>0.69150895997320383</v>
      </c>
      <c r="R150" s="125">
        <v>0.73462552554692506</v>
      </c>
      <c r="S150" s="97" t="s">
        <v>77</v>
      </c>
      <c r="Y150" s="99">
        <v>96</v>
      </c>
      <c r="Z150" s="99">
        <v>0</v>
      </c>
      <c r="AA150" s="99">
        <v>1955</v>
      </c>
      <c r="AB150" s="99">
        <v>2051</v>
      </c>
      <c r="AG150" s="99">
        <v>8258</v>
      </c>
      <c r="AH150" s="99">
        <v>10309</v>
      </c>
      <c r="AI150" s="99">
        <v>3684</v>
      </c>
      <c r="AJ150" s="99">
        <v>3724</v>
      </c>
    </row>
    <row r="151" spans="2:36" x14ac:dyDescent="0.15">
      <c r="B151" s="123" t="s">
        <v>438</v>
      </c>
      <c r="C151" s="123" t="s">
        <v>873</v>
      </c>
      <c r="D151" s="124" t="s">
        <v>824</v>
      </c>
      <c r="E151" s="116">
        <v>0</v>
      </c>
      <c r="F151" s="116">
        <v>0</v>
      </c>
      <c r="G151" s="116">
        <v>0</v>
      </c>
      <c r="H151" s="116">
        <v>0</v>
      </c>
      <c r="I151" s="116">
        <v>0</v>
      </c>
      <c r="J151" s="116">
        <v>0</v>
      </c>
      <c r="K151" s="116">
        <v>0</v>
      </c>
      <c r="L151" s="116">
        <v>0</v>
      </c>
      <c r="M151" s="125" t="s">
        <v>41</v>
      </c>
      <c r="N151" s="125" t="s">
        <v>41</v>
      </c>
      <c r="O151" s="125" t="s">
        <v>41</v>
      </c>
      <c r="P151" s="125" t="s">
        <v>41</v>
      </c>
      <c r="Q151" s="56">
        <v>0.89875173370319006</v>
      </c>
      <c r="R151" s="125">
        <v>0.89875173370319006</v>
      </c>
      <c r="S151" s="97" t="s">
        <v>55</v>
      </c>
      <c r="Y151" s="99">
        <v>0</v>
      </c>
      <c r="Z151" s="99">
        <v>0</v>
      </c>
      <c r="AA151" s="99">
        <v>0</v>
      </c>
      <c r="AB151" s="99">
        <v>0</v>
      </c>
      <c r="AG151" s="99">
        <v>3240</v>
      </c>
      <c r="AH151" s="99">
        <v>3240</v>
      </c>
      <c r="AI151" s="99">
        <v>365</v>
      </c>
      <c r="AJ151" s="99">
        <v>365</v>
      </c>
    </row>
    <row r="152" spans="2:36" x14ac:dyDescent="0.15">
      <c r="B152" s="123" t="s">
        <v>440</v>
      </c>
      <c r="C152" s="123" t="s">
        <v>873</v>
      </c>
      <c r="D152" s="124" t="s">
        <v>441</v>
      </c>
      <c r="E152" s="116">
        <v>129</v>
      </c>
      <c r="F152" s="116">
        <v>0</v>
      </c>
      <c r="G152" s="116">
        <v>106</v>
      </c>
      <c r="H152" s="116">
        <v>235</v>
      </c>
      <c r="I152" s="116">
        <v>63</v>
      </c>
      <c r="J152" s="116">
        <v>0</v>
      </c>
      <c r="K152" s="116">
        <v>19</v>
      </c>
      <c r="L152" s="116">
        <v>82</v>
      </c>
      <c r="M152" s="125">
        <v>0.65106382978723409</v>
      </c>
      <c r="N152" s="125">
        <v>0.51162790697674421</v>
      </c>
      <c r="O152" s="125" t="s">
        <v>41</v>
      </c>
      <c r="P152" s="125">
        <v>0.82075471698113212</v>
      </c>
      <c r="Q152" s="56">
        <v>0.53172321257427635</v>
      </c>
      <c r="R152" s="125">
        <v>0.53435186053050898</v>
      </c>
      <c r="S152" s="97" t="s">
        <v>55</v>
      </c>
      <c r="Y152" s="99">
        <v>66</v>
      </c>
      <c r="Z152" s="99">
        <v>0</v>
      </c>
      <c r="AA152" s="99">
        <v>87</v>
      </c>
      <c r="AB152" s="99">
        <v>153</v>
      </c>
      <c r="AG152" s="99">
        <v>5548</v>
      </c>
      <c r="AH152" s="99">
        <v>5701</v>
      </c>
      <c r="AI152" s="99">
        <v>4886</v>
      </c>
      <c r="AJ152" s="99">
        <v>4968</v>
      </c>
    </row>
    <row r="153" spans="2:36" x14ac:dyDescent="0.15">
      <c r="B153" s="123" t="s">
        <v>484</v>
      </c>
      <c r="C153" s="123" t="s">
        <v>873</v>
      </c>
      <c r="D153" s="124" t="s">
        <v>868</v>
      </c>
      <c r="E153" s="116">
        <v>0</v>
      </c>
      <c r="F153" s="116">
        <v>0</v>
      </c>
      <c r="G153" s="116">
        <v>0</v>
      </c>
      <c r="H153" s="116">
        <v>0</v>
      </c>
      <c r="I153" s="116">
        <v>0</v>
      </c>
      <c r="J153" s="116">
        <v>0</v>
      </c>
      <c r="K153" s="116">
        <v>0</v>
      </c>
      <c r="L153" s="116">
        <v>0</v>
      </c>
      <c r="M153" s="125" t="s">
        <v>41</v>
      </c>
      <c r="N153" s="125" t="s">
        <v>41</v>
      </c>
      <c r="O153" s="125" t="s">
        <v>41</v>
      </c>
      <c r="P153" s="125" t="s">
        <v>41</v>
      </c>
      <c r="Q153" s="56">
        <v>0.69025468964465453</v>
      </c>
      <c r="R153" s="125">
        <v>0.69025468964465453</v>
      </c>
      <c r="S153" s="97" t="s">
        <v>73</v>
      </c>
      <c r="Y153" s="99">
        <v>0</v>
      </c>
      <c r="Z153" s="99">
        <v>0</v>
      </c>
      <c r="AA153" s="99">
        <v>0</v>
      </c>
      <c r="AB153" s="99">
        <v>0</v>
      </c>
      <c r="AG153" s="99">
        <v>9052</v>
      </c>
      <c r="AH153" s="99">
        <v>9052</v>
      </c>
      <c r="AI153" s="99">
        <v>4062</v>
      </c>
      <c r="AJ153" s="99">
        <v>4062</v>
      </c>
    </row>
    <row r="154" spans="2:36" x14ac:dyDescent="0.15">
      <c r="B154" s="123" t="s">
        <v>652</v>
      </c>
      <c r="C154" s="123" t="s">
        <v>870</v>
      </c>
      <c r="D154" s="124" t="s">
        <v>744</v>
      </c>
      <c r="E154" s="116">
        <v>0</v>
      </c>
      <c r="F154" s="116">
        <v>0</v>
      </c>
      <c r="G154" s="116">
        <v>0</v>
      </c>
      <c r="H154" s="116">
        <v>0</v>
      </c>
      <c r="I154" s="116">
        <v>0</v>
      </c>
      <c r="J154" s="116">
        <v>0</v>
      </c>
      <c r="K154" s="116">
        <v>0</v>
      </c>
      <c r="L154" s="116">
        <v>0</v>
      </c>
      <c r="M154" s="125" t="s">
        <v>41</v>
      </c>
      <c r="N154" s="125" t="s">
        <v>41</v>
      </c>
      <c r="O154" s="125" t="s">
        <v>41</v>
      </c>
      <c r="P154" s="125" t="s">
        <v>41</v>
      </c>
      <c r="Q154" s="56">
        <v>0.67056964966081223</v>
      </c>
      <c r="R154" s="125">
        <v>0.67056964966081223</v>
      </c>
      <c r="S154" s="97" t="s">
        <v>836</v>
      </c>
      <c r="Y154" s="99">
        <v>0</v>
      </c>
      <c r="Z154" s="99">
        <v>0</v>
      </c>
      <c r="AA154" s="99">
        <v>0</v>
      </c>
      <c r="AB154" s="99">
        <v>0</v>
      </c>
      <c r="AG154" s="99">
        <v>7216</v>
      </c>
      <c r="AH154" s="99">
        <v>7216</v>
      </c>
      <c r="AI154" s="99">
        <v>3545</v>
      </c>
      <c r="AJ154" s="99">
        <v>3545</v>
      </c>
    </row>
    <row r="155" spans="2:36" x14ac:dyDescent="0.15">
      <c r="B155" s="123" t="s">
        <v>781</v>
      </c>
      <c r="C155" s="123" t="s">
        <v>870</v>
      </c>
      <c r="D155" s="124" t="s">
        <v>656</v>
      </c>
      <c r="E155" s="116">
        <v>0</v>
      </c>
      <c r="F155" s="116">
        <v>0</v>
      </c>
      <c r="G155" s="116">
        <v>0</v>
      </c>
      <c r="H155" s="116">
        <v>0</v>
      </c>
      <c r="I155" s="116">
        <v>0</v>
      </c>
      <c r="J155" s="116">
        <v>0</v>
      </c>
      <c r="K155" s="116">
        <v>0</v>
      </c>
      <c r="L155" s="116">
        <v>0</v>
      </c>
      <c r="M155" s="125" t="s">
        <v>41</v>
      </c>
      <c r="N155" s="125" t="s">
        <v>41</v>
      </c>
      <c r="O155" s="125" t="s">
        <v>41</v>
      </c>
      <c r="P155" s="125" t="s">
        <v>41</v>
      </c>
      <c r="Q155" s="56">
        <v>0.89434984520123839</v>
      </c>
      <c r="R155" s="125">
        <v>0.89434984520123839</v>
      </c>
      <c r="S155" s="97" t="s">
        <v>836</v>
      </c>
      <c r="Y155" s="99">
        <v>0</v>
      </c>
      <c r="Z155" s="99">
        <v>0</v>
      </c>
      <c r="AA155" s="99">
        <v>0</v>
      </c>
      <c r="AB155" s="99">
        <v>0</v>
      </c>
      <c r="AG155" s="99">
        <v>2311</v>
      </c>
      <c r="AH155" s="99">
        <v>2311</v>
      </c>
      <c r="AI155" s="99">
        <v>273</v>
      </c>
      <c r="AJ155" s="99">
        <v>273</v>
      </c>
    </row>
    <row r="156" spans="2:36" x14ac:dyDescent="0.15">
      <c r="B156" s="123" t="s">
        <v>576</v>
      </c>
      <c r="C156" s="123" t="s">
        <v>870</v>
      </c>
      <c r="D156" s="124" t="s">
        <v>577</v>
      </c>
      <c r="E156" s="116">
        <v>0</v>
      </c>
      <c r="F156" s="116">
        <v>0</v>
      </c>
      <c r="G156" s="116">
        <v>0</v>
      </c>
      <c r="H156" s="116">
        <v>0</v>
      </c>
      <c r="I156" s="116">
        <v>0</v>
      </c>
      <c r="J156" s="116">
        <v>0</v>
      </c>
      <c r="K156" s="116">
        <v>0</v>
      </c>
      <c r="L156" s="116">
        <v>0</v>
      </c>
      <c r="M156" s="125" t="s">
        <v>41</v>
      </c>
      <c r="N156" s="125" t="s">
        <v>41</v>
      </c>
      <c r="O156" s="125" t="s">
        <v>41</v>
      </c>
      <c r="P156" s="125" t="s">
        <v>41</v>
      </c>
      <c r="Q156" s="56">
        <v>0.98661028893587033</v>
      </c>
      <c r="R156" s="125">
        <v>0.98661028893587033</v>
      </c>
      <c r="S156" s="97" t="s">
        <v>830</v>
      </c>
      <c r="Y156" s="99">
        <v>0</v>
      </c>
      <c r="Z156" s="99">
        <v>0</v>
      </c>
      <c r="AA156" s="99">
        <v>0</v>
      </c>
      <c r="AB156" s="99">
        <v>0</v>
      </c>
      <c r="AG156" s="99">
        <v>1400</v>
      </c>
      <c r="AH156" s="99">
        <v>1400</v>
      </c>
      <c r="AI156" s="99">
        <v>19</v>
      </c>
      <c r="AJ156" s="99">
        <v>19</v>
      </c>
    </row>
    <row r="157" spans="2:36" x14ac:dyDescent="0.15">
      <c r="B157" s="123" t="s">
        <v>668</v>
      </c>
      <c r="C157" s="123" t="s">
        <v>870</v>
      </c>
      <c r="D157" s="124" t="s">
        <v>837</v>
      </c>
      <c r="E157" s="116">
        <v>0</v>
      </c>
      <c r="F157" s="116">
        <v>0</v>
      </c>
      <c r="G157" s="116">
        <v>0</v>
      </c>
      <c r="H157" s="116">
        <v>0</v>
      </c>
      <c r="I157" s="116">
        <v>0</v>
      </c>
      <c r="J157" s="116">
        <v>0</v>
      </c>
      <c r="K157" s="116">
        <v>0</v>
      </c>
      <c r="L157" s="116">
        <v>0</v>
      </c>
      <c r="M157" s="125" t="s">
        <v>41</v>
      </c>
      <c r="N157" s="125" t="s">
        <v>41</v>
      </c>
      <c r="O157" s="125" t="s">
        <v>41</v>
      </c>
      <c r="P157" s="125" t="s">
        <v>41</v>
      </c>
      <c r="Q157" s="56">
        <v>1</v>
      </c>
      <c r="R157" s="125">
        <v>1</v>
      </c>
      <c r="S157" s="97" t="s">
        <v>836</v>
      </c>
      <c r="Y157" s="99">
        <v>0</v>
      </c>
      <c r="Z157" s="99">
        <v>0</v>
      </c>
      <c r="AA157" s="99">
        <v>0</v>
      </c>
      <c r="AB157" s="99">
        <v>0</v>
      </c>
      <c r="AG157" s="99">
        <v>1969</v>
      </c>
      <c r="AH157" s="99">
        <v>1969</v>
      </c>
      <c r="AI157" s="99">
        <v>0</v>
      </c>
      <c r="AJ157" s="99">
        <v>0</v>
      </c>
    </row>
    <row r="158" spans="2:36" x14ac:dyDescent="0.15">
      <c r="B158" s="123" t="s">
        <v>578</v>
      </c>
      <c r="C158" s="123" t="s">
        <v>870</v>
      </c>
      <c r="D158" s="124" t="s">
        <v>579</v>
      </c>
      <c r="E158" s="116">
        <v>0</v>
      </c>
      <c r="F158" s="116">
        <v>0</v>
      </c>
      <c r="G158" s="116">
        <v>0</v>
      </c>
      <c r="H158" s="116">
        <v>0</v>
      </c>
      <c r="I158" s="116">
        <v>0</v>
      </c>
      <c r="J158" s="116">
        <v>0</v>
      </c>
      <c r="K158" s="116">
        <v>0</v>
      </c>
      <c r="L158" s="116">
        <v>0</v>
      </c>
      <c r="M158" s="125" t="s">
        <v>41</v>
      </c>
      <c r="N158" s="125" t="s">
        <v>41</v>
      </c>
      <c r="O158" s="125" t="s">
        <v>41</v>
      </c>
      <c r="P158" s="125" t="s">
        <v>41</v>
      </c>
      <c r="Q158" s="56">
        <v>0.77551875916998536</v>
      </c>
      <c r="R158" s="125">
        <v>0.77551875916998536</v>
      </c>
      <c r="S158" s="97" t="s">
        <v>830</v>
      </c>
      <c r="Y158" s="99">
        <v>0</v>
      </c>
      <c r="Z158" s="99">
        <v>0</v>
      </c>
      <c r="AA158" s="99">
        <v>0</v>
      </c>
      <c r="AB158" s="99">
        <v>0</v>
      </c>
      <c r="AG158" s="99">
        <v>11100</v>
      </c>
      <c r="AH158" s="99">
        <v>11100</v>
      </c>
      <c r="AI158" s="99">
        <v>3213</v>
      </c>
      <c r="AJ158" s="99">
        <v>3213</v>
      </c>
    </row>
    <row r="159" spans="2:36" x14ac:dyDescent="0.15">
      <c r="B159" s="123" t="s">
        <v>639</v>
      </c>
      <c r="C159" s="123" t="s">
        <v>870</v>
      </c>
      <c r="D159" s="124" t="s">
        <v>745</v>
      </c>
      <c r="E159" s="116">
        <v>0</v>
      </c>
      <c r="F159" s="116">
        <v>0</v>
      </c>
      <c r="G159" s="116">
        <v>0</v>
      </c>
      <c r="H159" s="116">
        <v>0</v>
      </c>
      <c r="I159" s="116">
        <v>0</v>
      </c>
      <c r="J159" s="116">
        <v>0</v>
      </c>
      <c r="K159" s="116">
        <v>0</v>
      </c>
      <c r="L159" s="116">
        <v>0</v>
      </c>
      <c r="M159" s="125" t="s">
        <v>41</v>
      </c>
      <c r="N159" s="125" t="s">
        <v>41</v>
      </c>
      <c r="O159" s="125" t="s">
        <v>41</v>
      </c>
      <c r="P159" s="125" t="s">
        <v>41</v>
      </c>
      <c r="Q159" s="56">
        <v>0.80146702230843836</v>
      </c>
      <c r="R159" s="125">
        <v>0.80146702230843836</v>
      </c>
      <c r="S159" s="97" t="s">
        <v>87</v>
      </c>
      <c r="Y159" s="99">
        <v>0</v>
      </c>
      <c r="Z159" s="99">
        <v>0</v>
      </c>
      <c r="AA159" s="99">
        <v>0</v>
      </c>
      <c r="AB159" s="99">
        <v>0</v>
      </c>
      <c r="AG159" s="99">
        <v>13221</v>
      </c>
      <c r="AH159" s="99">
        <v>13221</v>
      </c>
      <c r="AI159" s="99">
        <v>3275</v>
      </c>
      <c r="AJ159" s="99">
        <v>3275</v>
      </c>
    </row>
    <row r="160" spans="2:36" x14ac:dyDescent="0.15">
      <c r="B160" s="123" t="s">
        <v>641</v>
      </c>
      <c r="C160" s="123" t="s">
        <v>870</v>
      </c>
      <c r="D160" s="124" t="s">
        <v>642</v>
      </c>
      <c r="E160" s="116">
        <v>0</v>
      </c>
      <c r="F160" s="116">
        <v>0</v>
      </c>
      <c r="G160" s="116">
        <v>0</v>
      </c>
      <c r="H160" s="116">
        <v>0</v>
      </c>
      <c r="I160" s="116">
        <v>0</v>
      </c>
      <c r="J160" s="116">
        <v>0</v>
      </c>
      <c r="K160" s="116">
        <v>0</v>
      </c>
      <c r="L160" s="116">
        <v>0</v>
      </c>
      <c r="M160" s="125" t="s">
        <v>41</v>
      </c>
      <c r="N160" s="125" t="s">
        <v>41</v>
      </c>
      <c r="O160" s="125" t="s">
        <v>41</v>
      </c>
      <c r="P160" s="125" t="s">
        <v>41</v>
      </c>
      <c r="Q160" s="56">
        <v>0.72073442136498511</v>
      </c>
      <c r="R160" s="125">
        <v>0.72073442136498511</v>
      </c>
      <c r="S160" s="97" t="s">
        <v>87</v>
      </c>
      <c r="Y160" s="99">
        <v>0</v>
      </c>
      <c r="Z160" s="99">
        <v>0</v>
      </c>
      <c r="AA160" s="99">
        <v>0</v>
      </c>
      <c r="AB160" s="99">
        <v>0</v>
      </c>
      <c r="AG160" s="99">
        <v>19431</v>
      </c>
      <c r="AH160" s="99">
        <v>19431</v>
      </c>
      <c r="AI160" s="99">
        <v>7529</v>
      </c>
      <c r="AJ160" s="99">
        <v>7529</v>
      </c>
    </row>
    <row r="161" spans="2:36" x14ac:dyDescent="0.15">
      <c r="B161" s="123" t="s">
        <v>669</v>
      </c>
      <c r="C161" s="123" t="s">
        <v>870</v>
      </c>
      <c r="D161" s="124" t="s">
        <v>670</v>
      </c>
      <c r="E161" s="116">
        <v>1531</v>
      </c>
      <c r="F161" s="116">
        <v>0</v>
      </c>
      <c r="G161" s="116">
        <v>1337</v>
      </c>
      <c r="H161" s="116">
        <v>2868</v>
      </c>
      <c r="I161" s="116">
        <v>0</v>
      </c>
      <c r="J161" s="116">
        <v>0</v>
      </c>
      <c r="K161" s="116">
        <v>0</v>
      </c>
      <c r="L161" s="116">
        <v>0</v>
      </c>
      <c r="M161" s="125">
        <v>1</v>
      </c>
      <c r="N161" s="125">
        <v>1</v>
      </c>
      <c r="O161" s="125" t="s">
        <v>41</v>
      </c>
      <c r="P161" s="125">
        <v>1</v>
      </c>
      <c r="Q161" s="56">
        <v>0.68548569703373841</v>
      </c>
      <c r="R161" s="125">
        <v>0.74145312403052677</v>
      </c>
      <c r="S161" s="97" t="s">
        <v>836</v>
      </c>
      <c r="Y161" s="99">
        <v>1531</v>
      </c>
      <c r="Z161" s="99">
        <v>0</v>
      </c>
      <c r="AA161" s="99">
        <v>1337</v>
      </c>
      <c r="AB161" s="99">
        <v>2868</v>
      </c>
      <c r="AG161" s="99">
        <v>9082</v>
      </c>
      <c r="AH161" s="99">
        <v>11950</v>
      </c>
      <c r="AI161" s="99">
        <v>4167</v>
      </c>
      <c r="AJ161" s="99">
        <v>4167</v>
      </c>
    </row>
    <row r="162" spans="2:36" x14ac:dyDescent="0.15">
      <c r="B162" s="123" t="s">
        <v>797</v>
      </c>
      <c r="C162" s="123" t="s">
        <v>870</v>
      </c>
      <c r="D162" s="124" t="s">
        <v>854</v>
      </c>
      <c r="E162" s="116">
        <v>0</v>
      </c>
      <c r="F162" s="116">
        <v>0</v>
      </c>
      <c r="G162" s="116">
        <v>0</v>
      </c>
      <c r="H162" s="116">
        <v>0</v>
      </c>
      <c r="I162" s="116">
        <v>0</v>
      </c>
      <c r="J162" s="116">
        <v>0</v>
      </c>
      <c r="K162" s="116">
        <v>0</v>
      </c>
      <c r="L162" s="116">
        <v>0</v>
      </c>
      <c r="M162" s="125" t="s">
        <v>41</v>
      </c>
      <c r="N162" s="125" t="s">
        <v>41</v>
      </c>
      <c r="O162" s="125" t="s">
        <v>41</v>
      </c>
      <c r="P162" s="125" t="s">
        <v>41</v>
      </c>
      <c r="Q162" s="56">
        <v>1</v>
      </c>
      <c r="R162" s="125">
        <v>1</v>
      </c>
      <c r="S162" s="97" t="s">
        <v>87</v>
      </c>
      <c r="Y162" s="99">
        <v>0</v>
      </c>
      <c r="Z162" s="99">
        <v>0</v>
      </c>
      <c r="AA162" s="99">
        <v>0</v>
      </c>
      <c r="AB162" s="99">
        <v>0</v>
      </c>
      <c r="AG162" s="99">
        <v>2784</v>
      </c>
      <c r="AH162" s="99">
        <v>2784</v>
      </c>
      <c r="AI162" s="99">
        <v>0</v>
      </c>
      <c r="AJ162" s="99">
        <v>0</v>
      </c>
    </row>
    <row r="163" spans="2:36" x14ac:dyDescent="0.15">
      <c r="B163" s="123" t="s">
        <v>673</v>
      </c>
      <c r="C163" s="123" t="s">
        <v>870</v>
      </c>
      <c r="D163" s="124" t="s">
        <v>838</v>
      </c>
      <c r="E163" s="116">
        <v>0</v>
      </c>
      <c r="F163" s="116">
        <v>0</v>
      </c>
      <c r="G163" s="116">
        <v>0</v>
      </c>
      <c r="H163" s="116">
        <v>0</v>
      </c>
      <c r="I163" s="116">
        <v>0</v>
      </c>
      <c r="J163" s="116">
        <v>0</v>
      </c>
      <c r="K163" s="116">
        <v>0</v>
      </c>
      <c r="L163" s="116">
        <v>0</v>
      </c>
      <c r="M163" s="125" t="s">
        <v>41</v>
      </c>
      <c r="N163" s="125" t="s">
        <v>41</v>
      </c>
      <c r="O163" s="125" t="s">
        <v>41</v>
      </c>
      <c r="P163" s="125" t="s">
        <v>41</v>
      </c>
      <c r="Q163" s="56">
        <v>0.97146351406441089</v>
      </c>
      <c r="R163" s="125">
        <v>0.97146351406441089</v>
      </c>
      <c r="S163" s="97" t="s">
        <v>836</v>
      </c>
      <c r="Y163" s="99">
        <v>0</v>
      </c>
      <c r="Z163" s="99">
        <v>0</v>
      </c>
      <c r="AA163" s="99">
        <v>0</v>
      </c>
      <c r="AB163" s="99">
        <v>0</v>
      </c>
      <c r="AG163" s="99">
        <v>2383</v>
      </c>
      <c r="AH163" s="99">
        <v>2383</v>
      </c>
      <c r="AI163" s="99">
        <v>70</v>
      </c>
      <c r="AJ163" s="99">
        <v>70</v>
      </c>
    </row>
    <row r="164" spans="2:36" x14ac:dyDescent="0.15">
      <c r="B164" s="123" t="s">
        <v>617</v>
      </c>
      <c r="C164" s="123" t="s">
        <v>870</v>
      </c>
      <c r="D164" s="124" t="s">
        <v>618</v>
      </c>
      <c r="E164" s="116">
        <v>0</v>
      </c>
      <c r="F164" s="116">
        <v>0</v>
      </c>
      <c r="G164" s="116">
        <v>0</v>
      </c>
      <c r="H164" s="116">
        <v>0</v>
      </c>
      <c r="I164" s="116">
        <v>0</v>
      </c>
      <c r="J164" s="116">
        <v>0</v>
      </c>
      <c r="K164" s="116">
        <v>0</v>
      </c>
      <c r="L164" s="116">
        <v>0</v>
      </c>
      <c r="M164" s="125" t="s">
        <v>41</v>
      </c>
      <c r="N164" s="125" t="s">
        <v>41</v>
      </c>
      <c r="O164" s="125" t="s">
        <v>41</v>
      </c>
      <c r="P164" s="125" t="s">
        <v>41</v>
      </c>
      <c r="Q164" s="56">
        <v>0.75268038653262415</v>
      </c>
      <c r="R164" s="125">
        <v>0.75268038653262415</v>
      </c>
      <c r="S164" s="97" t="s">
        <v>830</v>
      </c>
      <c r="Y164" s="99">
        <v>0</v>
      </c>
      <c r="Z164" s="99">
        <v>0</v>
      </c>
      <c r="AA164" s="99">
        <v>0</v>
      </c>
      <c r="AB164" s="99">
        <v>0</v>
      </c>
      <c r="AG164" s="99">
        <v>27028</v>
      </c>
      <c r="AH164" s="99">
        <v>27028</v>
      </c>
      <c r="AI164" s="99">
        <v>8881</v>
      </c>
      <c r="AJ164" s="99">
        <v>8881</v>
      </c>
    </row>
    <row r="165" spans="2:36" x14ac:dyDescent="0.15">
      <c r="B165" s="123" t="s">
        <v>634</v>
      </c>
      <c r="C165" s="123" t="s">
        <v>870</v>
      </c>
      <c r="D165" s="124" t="s">
        <v>859</v>
      </c>
      <c r="E165" s="116">
        <v>0</v>
      </c>
      <c r="F165" s="116">
        <v>0</v>
      </c>
      <c r="G165" s="116">
        <v>0</v>
      </c>
      <c r="H165" s="116">
        <v>0</v>
      </c>
      <c r="I165" s="116">
        <v>0</v>
      </c>
      <c r="J165" s="116">
        <v>0</v>
      </c>
      <c r="K165" s="116">
        <v>0</v>
      </c>
      <c r="L165" s="116">
        <v>0</v>
      </c>
      <c r="M165" s="125" t="s">
        <v>41</v>
      </c>
      <c r="N165" s="125" t="s">
        <v>41</v>
      </c>
      <c r="O165" s="125" t="s">
        <v>41</v>
      </c>
      <c r="P165" s="125" t="s">
        <v>41</v>
      </c>
      <c r="Q165" s="56">
        <v>0.98248686514886163</v>
      </c>
      <c r="R165" s="125">
        <v>0.98248686514886163</v>
      </c>
      <c r="S165" s="97" t="s">
        <v>75</v>
      </c>
      <c r="Y165" s="99">
        <v>0</v>
      </c>
      <c r="Z165" s="99">
        <v>0</v>
      </c>
      <c r="AA165" s="99">
        <v>0</v>
      </c>
      <c r="AB165" s="99">
        <v>0</v>
      </c>
      <c r="AG165" s="99">
        <v>2805</v>
      </c>
      <c r="AH165" s="99">
        <v>2805</v>
      </c>
      <c r="AI165" s="99">
        <v>50</v>
      </c>
      <c r="AJ165" s="99">
        <v>50</v>
      </c>
    </row>
    <row r="166" spans="2:36" x14ac:dyDescent="0.15">
      <c r="B166" s="123" t="s">
        <v>625</v>
      </c>
      <c r="C166" s="123" t="s">
        <v>870</v>
      </c>
      <c r="D166" s="124" t="s">
        <v>626</v>
      </c>
      <c r="E166" s="116">
        <v>0</v>
      </c>
      <c r="F166" s="116">
        <v>0</v>
      </c>
      <c r="G166" s="116">
        <v>86</v>
      </c>
      <c r="H166" s="116">
        <v>86</v>
      </c>
      <c r="I166" s="116">
        <v>0</v>
      </c>
      <c r="J166" s="116">
        <v>0</v>
      </c>
      <c r="K166" s="116">
        <v>0</v>
      </c>
      <c r="L166" s="116">
        <v>0</v>
      </c>
      <c r="M166" s="125">
        <v>1</v>
      </c>
      <c r="N166" s="125" t="s">
        <v>41</v>
      </c>
      <c r="O166" s="125" t="s">
        <v>41</v>
      </c>
      <c r="P166" s="125">
        <v>1</v>
      </c>
      <c r="Q166" s="56">
        <v>0.6228969770091829</v>
      </c>
      <c r="R166" s="125">
        <v>0.62505831389536826</v>
      </c>
      <c r="S166" s="97" t="s">
        <v>75</v>
      </c>
      <c r="Y166" s="99">
        <v>0</v>
      </c>
      <c r="Z166" s="99">
        <v>0</v>
      </c>
      <c r="AA166" s="99">
        <v>86</v>
      </c>
      <c r="AB166" s="99">
        <v>86</v>
      </c>
      <c r="AG166" s="99">
        <v>9293</v>
      </c>
      <c r="AH166" s="99">
        <v>9379</v>
      </c>
      <c r="AI166" s="99">
        <v>5626</v>
      </c>
      <c r="AJ166" s="99">
        <v>5626</v>
      </c>
    </row>
    <row r="167" spans="2:36" x14ac:dyDescent="0.15">
      <c r="B167" s="123" t="s">
        <v>803</v>
      </c>
      <c r="C167" s="123" t="s">
        <v>870</v>
      </c>
      <c r="D167" s="124" t="s">
        <v>804</v>
      </c>
      <c r="E167" s="116">
        <v>0</v>
      </c>
      <c r="F167" s="116">
        <v>0</v>
      </c>
      <c r="G167" s="116">
        <v>0</v>
      </c>
      <c r="H167" s="116">
        <v>0</v>
      </c>
      <c r="I167" s="116">
        <v>0</v>
      </c>
      <c r="J167" s="116">
        <v>0</v>
      </c>
      <c r="K167" s="116">
        <v>0</v>
      </c>
      <c r="L167" s="116">
        <v>0</v>
      </c>
      <c r="M167" s="125" t="s">
        <v>41</v>
      </c>
      <c r="N167" s="125" t="s">
        <v>41</v>
      </c>
      <c r="O167" s="125" t="s">
        <v>41</v>
      </c>
      <c r="P167" s="125" t="s">
        <v>41</v>
      </c>
      <c r="Q167" s="56">
        <v>1</v>
      </c>
      <c r="R167" s="125">
        <v>1</v>
      </c>
      <c r="S167" s="97" t="s">
        <v>836</v>
      </c>
      <c r="Y167" s="99">
        <v>0</v>
      </c>
      <c r="Z167" s="99">
        <v>0</v>
      </c>
      <c r="AA167" s="99">
        <v>0</v>
      </c>
      <c r="AB167" s="99">
        <v>0</v>
      </c>
      <c r="AG167" s="99">
        <v>901</v>
      </c>
      <c r="AH167" s="99">
        <v>901</v>
      </c>
      <c r="AI167" s="99">
        <v>0</v>
      </c>
      <c r="AJ167" s="99">
        <v>0</v>
      </c>
    </row>
    <row r="168" spans="2:36" x14ac:dyDescent="0.15">
      <c r="B168" s="123" t="s">
        <v>801</v>
      </c>
      <c r="C168" s="123" t="s">
        <v>870</v>
      </c>
      <c r="D168" s="124" t="s">
        <v>802</v>
      </c>
      <c r="E168" s="116">
        <v>0</v>
      </c>
      <c r="F168" s="116">
        <v>0</v>
      </c>
      <c r="G168" s="116">
        <v>0</v>
      </c>
      <c r="H168" s="116">
        <v>0</v>
      </c>
      <c r="I168" s="116">
        <v>0</v>
      </c>
      <c r="J168" s="116">
        <v>0</v>
      </c>
      <c r="K168" s="116">
        <v>0</v>
      </c>
      <c r="L168" s="116">
        <v>0</v>
      </c>
      <c r="M168" s="125" t="s">
        <v>41</v>
      </c>
      <c r="N168" s="125" t="s">
        <v>41</v>
      </c>
      <c r="O168" s="125" t="s">
        <v>41</v>
      </c>
      <c r="P168" s="125" t="s">
        <v>41</v>
      </c>
      <c r="Q168" s="56">
        <v>1</v>
      </c>
      <c r="R168" s="125">
        <v>1</v>
      </c>
      <c r="S168" s="97" t="s">
        <v>87</v>
      </c>
      <c r="Y168" s="99">
        <v>0</v>
      </c>
      <c r="Z168" s="99">
        <v>0</v>
      </c>
      <c r="AA168" s="99">
        <v>0</v>
      </c>
      <c r="AB168" s="99">
        <v>0</v>
      </c>
      <c r="AG168" s="99">
        <v>2779</v>
      </c>
      <c r="AH168" s="99">
        <v>2779</v>
      </c>
      <c r="AI168" s="99">
        <v>0</v>
      </c>
      <c r="AJ168" s="99">
        <v>0</v>
      </c>
    </row>
    <row r="169" spans="2:36" x14ac:dyDescent="0.15">
      <c r="B169" s="123" t="s">
        <v>627</v>
      </c>
      <c r="C169" s="123" t="s">
        <v>870</v>
      </c>
      <c r="D169" s="124" t="s">
        <v>746</v>
      </c>
      <c r="E169" s="116">
        <v>18</v>
      </c>
      <c r="F169" s="116">
        <v>0</v>
      </c>
      <c r="G169" s="116">
        <v>16</v>
      </c>
      <c r="H169" s="116">
        <v>34</v>
      </c>
      <c r="I169" s="116">
        <v>4</v>
      </c>
      <c r="J169" s="116">
        <v>0</v>
      </c>
      <c r="K169" s="116">
        <v>0</v>
      </c>
      <c r="L169" s="116">
        <v>4</v>
      </c>
      <c r="M169" s="125">
        <v>0.88235294117647056</v>
      </c>
      <c r="N169" s="125">
        <v>0.77777777777777779</v>
      </c>
      <c r="O169" s="125" t="s">
        <v>41</v>
      </c>
      <c r="P169" s="125">
        <v>1</v>
      </c>
      <c r="Q169" s="56">
        <v>0.8007524690390343</v>
      </c>
      <c r="R169" s="125">
        <v>0.80118509278029004</v>
      </c>
      <c r="S169" s="97" t="s">
        <v>75</v>
      </c>
      <c r="Y169" s="99">
        <v>14</v>
      </c>
      <c r="Z169" s="99">
        <v>0</v>
      </c>
      <c r="AA169" s="99">
        <v>16</v>
      </c>
      <c r="AB169" s="99">
        <v>30</v>
      </c>
      <c r="AG169" s="99">
        <v>5108</v>
      </c>
      <c r="AH169" s="99">
        <v>5138</v>
      </c>
      <c r="AI169" s="99">
        <v>1271</v>
      </c>
      <c r="AJ169" s="99">
        <v>1275</v>
      </c>
    </row>
    <row r="170" spans="2:36" x14ac:dyDescent="0.15">
      <c r="B170" s="123" t="s">
        <v>643</v>
      </c>
      <c r="C170" s="123" t="s">
        <v>870</v>
      </c>
      <c r="D170" s="124" t="s">
        <v>644</v>
      </c>
      <c r="E170" s="116">
        <v>0</v>
      </c>
      <c r="F170" s="116">
        <v>0</v>
      </c>
      <c r="G170" s="116">
        <v>0</v>
      </c>
      <c r="H170" s="116">
        <v>0</v>
      </c>
      <c r="I170" s="116">
        <v>0</v>
      </c>
      <c r="J170" s="116">
        <v>0</v>
      </c>
      <c r="K170" s="116">
        <v>0</v>
      </c>
      <c r="L170" s="116">
        <v>0</v>
      </c>
      <c r="M170" s="125" t="s">
        <v>41</v>
      </c>
      <c r="N170" s="125" t="s">
        <v>41</v>
      </c>
      <c r="O170" s="125" t="s">
        <v>41</v>
      </c>
      <c r="P170" s="125" t="s">
        <v>41</v>
      </c>
      <c r="Q170" s="56">
        <v>0.98572501878287</v>
      </c>
      <c r="R170" s="125">
        <v>0.98572501878287</v>
      </c>
      <c r="S170" s="97" t="s">
        <v>87</v>
      </c>
      <c r="Y170" s="99">
        <v>0</v>
      </c>
      <c r="Z170" s="99">
        <v>0</v>
      </c>
      <c r="AA170" s="99">
        <v>0</v>
      </c>
      <c r="AB170" s="99">
        <v>0</v>
      </c>
      <c r="AG170" s="99">
        <v>6560</v>
      </c>
      <c r="AH170" s="99">
        <v>6560</v>
      </c>
      <c r="AI170" s="99">
        <v>95</v>
      </c>
      <c r="AJ170" s="99">
        <v>95</v>
      </c>
    </row>
    <row r="171" spans="2:36" x14ac:dyDescent="0.15">
      <c r="B171" s="123" t="s">
        <v>645</v>
      </c>
      <c r="C171" s="123" t="s">
        <v>870</v>
      </c>
      <c r="D171" s="124" t="s">
        <v>747</v>
      </c>
      <c r="E171" s="116">
        <v>1119</v>
      </c>
      <c r="F171" s="116">
        <v>0</v>
      </c>
      <c r="G171" s="116">
        <v>82</v>
      </c>
      <c r="H171" s="116">
        <v>1201</v>
      </c>
      <c r="I171" s="116">
        <v>219</v>
      </c>
      <c r="J171" s="116">
        <v>0</v>
      </c>
      <c r="K171" s="116">
        <v>0</v>
      </c>
      <c r="L171" s="116">
        <v>219</v>
      </c>
      <c r="M171" s="125">
        <v>0.81765195670274771</v>
      </c>
      <c r="N171" s="125">
        <v>0.80428954423592491</v>
      </c>
      <c r="O171" s="125" t="s">
        <v>41</v>
      </c>
      <c r="P171" s="125">
        <v>1</v>
      </c>
      <c r="Q171" s="56">
        <v>0.74545208933717577</v>
      </c>
      <c r="R171" s="125">
        <v>0.74915630740313555</v>
      </c>
      <c r="S171" s="97" t="s">
        <v>87</v>
      </c>
      <c r="Y171" s="99">
        <v>900</v>
      </c>
      <c r="Z171" s="99">
        <v>0</v>
      </c>
      <c r="AA171" s="99">
        <v>82</v>
      </c>
      <c r="AB171" s="99">
        <v>982</v>
      </c>
      <c r="AG171" s="99">
        <v>16555</v>
      </c>
      <c r="AH171" s="99">
        <v>17537</v>
      </c>
      <c r="AI171" s="99">
        <v>5653</v>
      </c>
      <c r="AJ171" s="99">
        <v>5872</v>
      </c>
    </row>
    <row r="172" spans="2:36" x14ac:dyDescent="0.15">
      <c r="B172" s="123" t="s">
        <v>646</v>
      </c>
      <c r="C172" s="123" t="s">
        <v>870</v>
      </c>
      <c r="D172" s="124" t="s">
        <v>647</v>
      </c>
      <c r="E172" s="116">
        <v>278</v>
      </c>
      <c r="F172" s="116">
        <v>0</v>
      </c>
      <c r="G172" s="116">
        <v>755</v>
      </c>
      <c r="H172" s="116">
        <v>1033</v>
      </c>
      <c r="I172" s="116">
        <v>55</v>
      </c>
      <c r="J172" s="116">
        <v>0</v>
      </c>
      <c r="K172" s="116">
        <v>0</v>
      </c>
      <c r="L172" s="116">
        <v>55</v>
      </c>
      <c r="M172" s="125">
        <v>0.94675701839303006</v>
      </c>
      <c r="N172" s="125">
        <v>0.80215827338129497</v>
      </c>
      <c r="O172" s="125" t="s">
        <v>41</v>
      </c>
      <c r="P172" s="125">
        <v>1</v>
      </c>
      <c r="Q172" s="56">
        <v>0.74350769230769231</v>
      </c>
      <c r="R172" s="125">
        <v>0.75565584678585895</v>
      </c>
      <c r="S172" s="97" t="s">
        <v>87</v>
      </c>
      <c r="Y172" s="99">
        <v>223</v>
      </c>
      <c r="Z172" s="99">
        <v>0</v>
      </c>
      <c r="AA172" s="99">
        <v>755</v>
      </c>
      <c r="AB172" s="99">
        <v>978</v>
      </c>
      <c r="AG172" s="99">
        <v>12082</v>
      </c>
      <c r="AH172" s="99">
        <v>13060</v>
      </c>
      <c r="AI172" s="99">
        <v>4168</v>
      </c>
      <c r="AJ172" s="99">
        <v>4223</v>
      </c>
    </row>
    <row r="173" spans="2:36" x14ac:dyDescent="0.15">
      <c r="B173" s="123" t="s">
        <v>580</v>
      </c>
      <c r="C173" s="123" t="s">
        <v>870</v>
      </c>
      <c r="D173" s="124" t="s">
        <v>581</v>
      </c>
      <c r="E173" s="116">
        <v>0</v>
      </c>
      <c r="F173" s="116">
        <v>0</v>
      </c>
      <c r="G173" s="116">
        <v>0</v>
      </c>
      <c r="H173" s="116">
        <v>0</v>
      </c>
      <c r="I173" s="116">
        <v>0</v>
      </c>
      <c r="J173" s="116">
        <v>0</v>
      </c>
      <c r="K173" s="116">
        <v>0</v>
      </c>
      <c r="L173" s="116">
        <v>0</v>
      </c>
      <c r="M173" s="125" t="s">
        <v>41</v>
      </c>
      <c r="N173" s="125" t="s">
        <v>41</v>
      </c>
      <c r="O173" s="125" t="s">
        <v>41</v>
      </c>
      <c r="P173" s="125" t="s">
        <v>41</v>
      </c>
      <c r="Q173" s="56">
        <v>0.95009166836422898</v>
      </c>
      <c r="R173" s="125">
        <v>0.95009166836422898</v>
      </c>
      <c r="S173" s="97" t="s">
        <v>830</v>
      </c>
      <c r="Y173" s="99">
        <v>0</v>
      </c>
      <c r="Z173" s="99">
        <v>0</v>
      </c>
      <c r="AA173" s="99">
        <v>0</v>
      </c>
      <c r="AB173" s="99">
        <v>0</v>
      </c>
      <c r="AG173" s="99">
        <v>4664</v>
      </c>
      <c r="AH173" s="99">
        <v>4664</v>
      </c>
      <c r="AI173" s="99">
        <v>245</v>
      </c>
      <c r="AJ173" s="99">
        <v>245</v>
      </c>
    </row>
    <row r="174" spans="2:36" x14ac:dyDescent="0.15">
      <c r="B174" s="123" t="s">
        <v>582</v>
      </c>
      <c r="C174" s="123" t="s">
        <v>870</v>
      </c>
      <c r="D174" s="124" t="s">
        <v>583</v>
      </c>
      <c r="E174" s="116">
        <v>2055</v>
      </c>
      <c r="F174" s="116">
        <v>0</v>
      </c>
      <c r="G174" s="116">
        <v>0</v>
      </c>
      <c r="H174" s="116">
        <v>2055</v>
      </c>
      <c r="I174" s="116">
        <v>361</v>
      </c>
      <c r="J174" s="116">
        <v>0</v>
      </c>
      <c r="K174" s="116">
        <v>0</v>
      </c>
      <c r="L174" s="116">
        <v>361</v>
      </c>
      <c r="M174" s="125">
        <v>0.82433090024330902</v>
      </c>
      <c r="N174" s="125">
        <v>0.82433090024330902</v>
      </c>
      <c r="O174" s="125" t="s">
        <v>41</v>
      </c>
      <c r="P174" s="125" t="s">
        <v>41</v>
      </c>
      <c r="Q174" s="56">
        <v>0.792005797747798</v>
      </c>
      <c r="R174" s="125">
        <v>0.79532836492772474</v>
      </c>
      <c r="S174" s="97" t="s">
        <v>830</v>
      </c>
      <c r="Y174" s="99">
        <v>1694</v>
      </c>
      <c r="Z174" s="99">
        <v>0</v>
      </c>
      <c r="AA174" s="99">
        <v>0</v>
      </c>
      <c r="AB174" s="99">
        <v>1694</v>
      </c>
      <c r="AG174" s="99">
        <v>14207</v>
      </c>
      <c r="AH174" s="99">
        <v>15901</v>
      </c>
      <c r="AI174" s="99">
        <v>3731</v>
      </c>
      <c r="AJ174" s="99">
        <v>4092</v>
      </c>
    </row>
    <row r="175" spans="2:36" x14ac:dyDescent="0.15">
      <c r="B175" s="123" t="s">
        <v>630</v>
      </c>
      <c r="C175" s="123" t="s">
        <v>870</v>
      </c>
      <c r="D175" s="124" t="s">
        <v>832</v>
      </c>
      <c r="E175" s="116">
        <v>0</v>
      </c>
      <c r="F175" s="116">
        <v>0</v>
      </c>
      <c r="G175" s="116">
        <v>12</v>
      </c>
      <c r="H175" s="116">
        <v>12</v>
      </c>
      <c r="I175" s="116">
        <v>0</v>
      </c>
      <c r="J175" s="116">
        <v>0</v>
      </c>
      <c r="K175" s="116">
        <v>0</v>
      </c>
      <c r="L175" s="116">
        <v>0</v>
      </c>
      <c r="M175" s="125">
        <v>1</v>
      </c>
      <c r="N175" s="125" t="s">
        <v>41</v>
      </c>
      <c r="O175" s="125" t="s">
        <v>41</v>
      </c>
      <c r="P175" s="125">
        <v>1</v>
      </c>
      <c r="Q175" s="56">
        <v>0.91679798298140558</v>
      </c>
      <c r="R175" s="125">
        <v>0.91711145996860277</v>
      </c>
      <c r="S175" s="97" t="s">
        <v>75</v>
      </c>
      <c r="Y175" s="99">
        <v>0</v>
      </c>
      <c r="Z175" s="99">
        <v>0</v>
      </c>
      <c r="AA175" s="99">
        <v>12</v>
      </c>
      <c r="AB175" s="99">
        <v>12</v>
      </c>
      <c r="AG175" s="99">
        <v>2909</v>
      </c>
      <c r="AH175" s="99">
        <v>2921</v>
      </c>
      <c r="AI175" s="99">
        <v>264</v>
      </c>
      <c r="AJ175" s="99">
        <v>264</v>
      </c>
    </row>
    <row r="176" spans="2:36" x14ac:dyDescent="0.15">
      <c r="B176" s="123" t="s">
        <v>628</v>
      </c>
      <c r="C176" s="123" t="s">
        <v>870</v>
      </c>
      <c r="D176" s="124" t="s">
        <v>867</v>
      </c>
      <c r="E176" s="116">
        <v>2016</v>
      </c>
      <c r="F176" s="116">
        <v>0</v>
      </c>
      <c r="G176" s="116">
        <v>672</v>
      </c>
      <c r="H176" s="116">
        <v>2688</v>
      </c>
      <c r="I176" s="116">
        <v>702</v>
      </c>
      <c r="J176" s="116">
        <v>0</v>
      </c>
      <c r="K176" s="116">
        <v>8</v>
      </c>
      <c r="L176" s="116">
        <v>710</v>
      </c>
      <c r="M176" s="125">
        <v>0.73586309523809523</v>
      </c>
      <c r="N176" s="125">
        <v>0.6517857142857143</v>
      </c>
      <c r="O176" s="125" t="s">
        <v>41</v>
      </c>
      <c r="P176" s="125">
        <v>0.98809523809523814</v>
      </c>
      <c r="Q176" s="56">
        <v>0.70957055953743298</v>
      </c>
      <c r="R176" s="125">
        <v>0.71323415064019491</v>
      </c>
      <c r="S176" s="97" t="s">
        <v>75</v>
      </c>
      <c r="Y176" s="99">
        <v>1314</v>
      </c>
      <c r="Z176" s="99">
        <v>0</v>
      </c>
      <c r="AA176" s="99">
        <v>664</v>
      </c>
      <c r="AB176" s="99">
        <v>1978</v>
      </c>
      <c r="AG176" s="99">
        <v>11781</v>
      </c>
      <c r="AH176" s="99">
        <v>13759</v>
      </c>
      <c r="AI176" s="99">
        <v>4822</v>
      </c>
      <c r="AJ176" s="99">
        <v>5532</v>
      </c>
    </row>
    <row r="177" spans="2:36" x14ac:dyDescent="0.15">
      <c r="B177" s="123" t="s">
        <v>632</v>
      </c>
      <c r="C177" s="123" t="s">
        <v>870</v>
      </c>
      <c r="D177" s="124" t="s">
        <v>833</v>
      </c>
      <c r="E177" s="116">
        <v>0</v>
      </c>
      <c r="F177" s="116">
        <v>0</v>
      </c>
      <c r="G177" s="116">
        <v>0</v>
      </c>
      <c r="H177" s="116">
        <v>0</v>
      </c>
      <c r="I177" s="116">
        <v>0</v>
      </c>
      <c r="J177" s="116">
        <v>0</v>
      </c>
      <c r="K177" s="116">
        <v>0</v>
      </c>
      <c r="L177" s="116">
        <v>0</v>
      </c>
      <c r="M177" s="125" t="s">
        <v>41</v>
      </c>
      <c r="N177" s="125" t="s">
        <v>41</v>
      </c>
      <c r="O177" s="125" t="s">
        <v>41</v>
      </c>
      <c r="P177" s="125" t="s">
        <v>41</v>
      </c>
      <c r="Q177" s="56">
        <v>0.9680757761796176</v>
      </c>
      <c r="R177" s="125">
        <v>0.9680757761796176</v>
      </c>
      <c r="S177" s="97" t="s">
        <v>75</v>
      </c>
      <c r="Y177" s="99">
        <v>0</v>
      </c>
      <c r="Z177" s="99">
        <v>0</v>
      </c>
      <c r="AA177" s="99">
        <v>0</v>
      </c>
      <c r="AB177" s="99">
        <v>0</v>
      </c>
      <c r="AG177" s="99">
        <v>5519</v>
      </c>
      <c r="AH177" s="99">
        <v>5519</v>
      </c>
      <c r="AI177" s="99">
        <v>182</v>
      </c>
      <c r="AJ177" s="99">
        <v>182</v>
      </c>
    </row>
    <row r="178" spans="2:36" x14ac:dyDescent="0.15">
      <c r="B178" s="123" t="s">
        <v>636</v>
      </c>
      <c r="C178" s="123" t="s">
        <v>870</v>
      </c>
      <c r="D178" s="124" t="s">
        <v>834</v>
      </c>
      <c r="E178" s="116">
        <v>0</v>
      </c>
      <c r="F178" s="116">
        <v>0</v>
      </c>
      <c r="G178" s="116">
        <v>355</v>
      </c>
      <c r="H178" s="116">
        <v>355</v>
      </c>
      <c r="I178" s="116">
        <v>0</v>
      </c>
      <c r="J178" s="116">
        <v>0</v>
      </c>
      <c r="K178" s="116">
        <v>8</v>
      </c>
      <c r="L178" s="116">
        <v>8</v>
      </c>
      <c r="M178" s="125">
        <v>0.9774647887323944</v>
      </c>
      <c r="N178" s="125" t="s">
        <v>41</v>
      </c>
      <c r="O178" s="125" t="s">
        <v>41</v>
      </c>
      <c r="P178" s="125">
        <v>0.9774647887323944</v>
      </c>
      <c r="Q178" s="56">
        <v>0.97471178876905917</v>
      </c>
      <c r="R178" s="125">
        <v>0.97488226059654626</v>
      </c>
      <c r="S178" s="97" t="s">
        <v>75</v>
      </c>
      <c r="Y178" s="99">
        <v>0</v>
      </c>
      <c r="Z178" s="99">
        <v>0</v>
      </c>
      <c r="AA178" s="99">
        <v>347</v>
      </c>
      <c r="AB178" s="99">
        <v>347</v>
      </c>
      <c r="AG178" s="99">
        <v>5242</v>
      </c>
      <c r="AH178" s="99">
        <v>5589</v>
      </c>
      <c r="AI178" s="99">
        <v>136</v>
      </c>
      <c r="AJ178" s="99">
        <v>144</v>
      </c>
    </row>
    <row r="179" spans="2:36" x14ac:dyDescent="0.15">
      <c r="B179" s="123" t="s">
        <v>674</v>
      </c>
      <c r="C179" s="123" t="s">
        <v>870</v>
      </c>
      <c r="D179" s="124" t="s">
        <v>675</v>
      </c>
      <c r="E179" s="116">
        <v>0</v>
      </c>
      <c r="F179" s="116">
        <v>0</v>
      </c>
      <c r="G179" s="116">
        <v>0</v>
      </c>
      <c r="H179" s="116">
        <v>0</v>
      </c>
      <c r="I179" s="116">
        <v>0</v>
      </c>
      <c r="J179" s="116">
        <v>0</v>
      </c>
      <c r="K179" s="116">
        <v>0</v>
      </c>
      <c r="L179" s="116">
        <v>0</v>
      </c>
      <c r="M179" s="125" t="s">
        <v>41</v>
      </c>
      <c r="N179" s="125" t="s">
        <v>41</v>
      </c>
      <c r="O179" s="125" t="s">
        <v>41</v>
      </c>
      <c r="P179" s="125" t="s">
        <v>41</v>
      </c>
      <c r="Q179" s="56">
        <v>0.99930216329378929</v>
      </c>
      <c r="R179" s="125">
        <v>0.99930216329378929</v>
      </c>
      <c r="S179" s="97" t="s">
        <v>836</v>
      </c>
      <c r="Y179" s="99">
        <v>0</v>
      </c>
      <c r="Z179" s="99">
        <v>0</v>
      </c>
      <c r="AA179" s="99">
        <v>0</v>
      </c>
      <c r="AB179" s="99">
        <v>0</v>
      </c>
      <c r="AG179" s="99">
        <v>1432</v>
      </c>
      <c r="AH179" s="99">
        <v>1432</v>
      </c>
      <c r="AI179" s="99">
        <v>1</v>
      </c>
      <c r="AJ179" s="99">
        <v>1</v>
      </c>
    </row>
    <row r="180" spans="2:36" x14ac:dyDescent="0.15">
      <c r="B180" s="123" t="s">
        <v>584</v>
      </c>
      <c r="C180" s="123" t="s">
        <v>870</v>
      </c>
      <c r="D180" s="124" t="s">
        <v>585</v>
      </c>
      <c r="E180" s="116">
        <v>1447</v>
      </c>
      <c r="F180" s="116">
        <v>21</v>
      </c>
      <c r="G180" s="116">
        <v>0</v>
      </c>
      <c r="H180" s="116">
        <v>1468</v>
      </c>
      <c r="I180" s="116">
        <v>412</v>
      </c>
      <c r="J180" s="116">
        <v>0</v>
      </c>
      <c r="K180" s="116">
        <v>0</v>
      </c>
      <c r="L180" s="116">
        <v>412</v>
      </c>
      <c r="M180" s="125">
        <v>0.71934604904632149</v>
      </c>
      <c r="N180" s="125">
        <v>0.71527297857636485</v>
      </c>
      <c r="O180" s="125">
        <v>1</v>
      </c>
      <c r="P180" s="125" t="s">
        <v>41</v>
      </c>
      <c r="Q180" s="56">
        <v>0.74788171258627467</v>
      </c>
      <c r="R180" s="125">
        <v>0.74570999014982631</v>
      </c>
      <c r="S180" s="97" t="s">
        <v>830</v>
      </c>
      <c r="Y180" s="99">
        <v>1035</v>
      </c>
      <c r="Z180" s="99">
        <v>21</v>
      </c>
      <c r="AA180" s="99">
        <v>0</v>
      </c>
      <c r="AB180" s="99">
        <v>1056</v>
      </c>
      <c r="AG180" s="99">
        <v>13328</v>
      </c>
      <c r="AH180" s="99">
        <v>14384</v>
      </c>
      <c r="AI180" s="99">
        <v>4493</v>
      </c>
      <c r="AJ180" s="99">
        <v>4905</v>
      </c>
    </row>
    <row r="181" spans="2:36" x14ac:dyDescent="0.15">
      <c r="B181" s="123" t="s">
        <v>659</v>
      </c>
      <c r="C181" s="123" t="s">
        <v>870</v>
      </c>
      <c r="D181" s="124" t="s">
        <v>860</v>
      </c>
      <c r="E181" s="116">
        <v>879</v>
      </c>
      <c r="F181" s="116">
        <v>0</v>
      </c>
      <c r="G181" s="116">
        <v>88</v>
      </c>
      <c r="H181" s="116">
        <v>967</v>
      </c>
      <c r="I181" s="116">
        <v>244</v>
      </c>
      <c r="J181" s="116">
        <v>0</v>
      </c>
      <c r="K181" s="116">
        <v>0</v>
      </c>
      <c r="L181" s="116">
        <v>244</v>
      </c>
      <c r="M181" s="125">
        <v>0.74767321613236815</v>
      </c>
      <c r="N181" s="125">
        <v>0.72241183162684874</v>
      </c>
      <c r="O181" s="125" t="s">
        <v>41</v>
      </c>
      <c r="P181" s="125">
        <v>1</v>
      </c>
      <c r="Q181" s="56">
        <v>0.73050168634064083</v>
      </c>
      <c r="R181" s="125">
        <v>0.73208990913438543</v>
      </c>
      <c r="S181" s="97" t="s">
        <v>836</v>
      </c>
      <c r="Y181" s="99">
        <v>635</v>
      </c>
      <c r="Z181" s="99">
        <v>0</v>
      </c>
      <c r="AA181" s="99">
        <v>88</v>
      </c>
      <c r="AB181" s="99">
        <v>723</v>
      </c>
      <c r="AG181" s="99">
        <v>6931</v>
      </c>
      <c r="AH181" s="99">
        <v>7654</v>
      </c>
      <c r="AI181" s="99">
        <v>2557</v>
      </c>
      <c r="AJ181" s="99">
        <v>2801</v>
      </c>
    </row>
    <row r="182" spans="2:36" x14ac:dyDescent="0.15">
      <c r="B182" s="123" t="s">
        <v>667</v>
      </c>
      <c r="C182" s="123" t="s">
        <v>870</v>
      </c>
      <c r="D182" s="124" t="s">
        <v>748</v>
      </c>
      <c r="E182" s="116">
        <v>0</v>
      </c>
      <c r="F182" s="116">
        <v>0</v>
      </c>
      <c r="G182" s="116">
        <v>0</v>
      </c>
      <c r="H182" s="116">
        <v>0</v>
      </c>
      <c r="I182" s="116">
        <v>0</v>
      </c>
      <c r="J182" s="116">
        <v>0</v>
      </c>
      <c r="K182" s="116">
        <v>0</v>
      </c>
      <c r="L182" s="116">
        <v>0</v>
      </c>
      <c r="M182" s="125" t="s">
        <v>41</v>
      </c>
      <c r="N182" s="125" t="s">
        <v>41</v>
      </c>
      <c r="O182" s="125" t="s">
        <v>41</v>
      </c>
      <c r="P182" s="125" t="s">
        <v>41</v>
      </c>
      <c r="Q182" s="56">
        <v>0.52105787519246449</v>
      </c>
      <c r="R182" s="125">
        <v>0.52105787519246449</v>
      </c>
      <c r="S182" s="97" t="s">
        <v>836</v>
      </c>
      <c r="Y182" s="99">
        <v>0</v>
      </c>
      <c r="Z182" s="99">
        <v>0</v>
      </c>
      <c r="AA182" s="99">
        <v>0</v>
      </c>
      <c r="AB182" s="99">
        <v>0</v>
      </c>
      <c r="AG182" s="99">
        <v>5753</v>
      </c>
      <c r="AH182" s="99">
        <v>5753</v>
      </c>
      <c r="AI182" s="99">
        <v>5288</v>
      </c>
      <c r="AJ182" s="99">
        <v>5288</v>
      </c>
    </row>
    <row r="183" spans="2:36" x14ac:dyDescent="0.15">
      <c r="B183" s="123" t="s">
        <v>676</v>
      </c>
      <c r="C183" s="123" t="s">
        <v>870</v>
      </c>
      <c r="D183" s="124" t="s">
        <v>677</v>
      </c>
      <c r="E183" s="116">
        <v>0</v>
      </c>
      <c r="F183" s="116">
        <v>0</v>
      </c>
      <c r="G183" s="116">
        <v>0</v>
      </c>
      <c r="H183" s="116">
        <v>0</v>
      </c>
      <c r="I183" s="116">
        <v>0</v>
      </c>
      <c r="J183" s="116">
        <v>0</v>
      </c>
      <c r="K183" s="116">
        <v>0</v>
      </c>
      <c r="L183" s="116">
        <v>0</v>
      </c>
      <c r="M183" s="125" t="s">
        <v>41</v>
      </c>
      <c r="N183" s="125" t="s">
        <v>41</v>
      </c>
      <c r="O183" s="125" t="s">
        <v>41</v>
      </c>
      <c r="P183" s="125" t="s">
        <v>41</v>
      </c>
      <c r="Q183" s="56">
        <v>0.96274569556605216</v>
      </c>
      <c r="R183" s="125">
        <v>0.96274569556605216</v>
      </c>
      <c r="S183" s="97" t="s">
        <v>836</v>
      </c>
      <c r="Y183" s="99">
        <v>0</v>
      </c>
      <c r="Z183" s="99">
        <v>0</v>
      </c>
      <c r="AA183" s="99">
        <v>0</v>
      </c>
      <c r="AB183" s="99">
        <v>0</v>
      </c>
      <c r="AG183" s="99">
        <v>12637</v>
      </c>
      <c r="AH183" s="99">
        <v>12637</v>
      </c>
      <c r="AI183" s="99">
        <v>489</v>
      </c>
      <c r="AJ183" s="99">
        <v>489</v>
      </c>
    </row>
    <row r="184" spans="2:36" x14ac:dyDescent="0.15">
      <c r="B184" s="123" t="s">
        <v>637</v>
      </c>
      <c r="C184" s="123" t="s">
        <v>870</v>
      </c>
      <c r="D184" s="124" t="s">
        <v>638</v>
      </c>
      <c r="E184" s="116">
        <v>0</v>
      </c>
      <c r="F184" s="116">
        <v>0</v>
      </c>
      <c r="G184" s="116">
        <v>0</v>
      </c>
      <c r="H184" s="116">
        <v>0</v>
      </c>
      <c r="I184" s="116">
        <v>0</v>
      </c>
      <c r="J184" s="116">
        <v>0</v>
      </c>
      <c r="K184" s="116">
        <v>0</v>
      </c>
      <c r="L184" s="116">
        <v>0</v>
      </c>
      <c r="M184" s="125" t="s">
        <v>41</v>
      </c>
      <c r="N184" s="125" t="s">
        <v>41</v>
      </c>
      <c r="O184" s="125" t="s">
        <v>41</v>
      </c>
      <c r="P184" s="125" t="s">
        <v>41</v>
      </c>
      <c r="Q184" s="56">
        <v>0.70717660956881279</v>
      </c>
      <c r="R184" s="125">
        <v>0.70717660956881279</v>
      </c>
      <c r="S184" s="97" t="s">
        <v>75</v>
      </c>
      <c r="Y184" s="99">
        <v>0</v>
      </c>
      <c r="Z184" s="99">
        <v>0</v>
      </c>
      <c r="AA184" s="99">
        <v>0</v>
      </c>
      <c r="AB184" s="99">
        <v>0</v>
      </c>
      <c r="AG184" s="99">
        <v>9578</v>
      </c>
      <c r="AH184" s="99">
        <v>9578</v>
      </c>
      <c r="AI184" s="99">
        <v>3966</v>
      </c>
      <c r="AJ184" s="99">
        <v>3966</v>
      </c>
    </row>
    <row r="185" spans="2:36" x14ac:dyDescent="0.15">
      <c r="B185" s="123" t="s">
        <v>678</v>
      </c>
      <c r="C185" s="123" t="s">
        <v>870</v>
      </c>
      <c r="D185" s="124" t="s">
        <v>749</v>
      </c>
      <c r="E185" s="116">
        <v>1647</v>
      </c>
      <c r="F185" s="116">
        <v>0</v>
      </c>
      <c r="G185" s="116">
        <v>479</v>
      </c>
      <c r="H185" s="116">
        <v>2126</v>
      </c>
      <c r="I185" s="116">
        <v>638</v>
      </c>
      <c r="J185" s="116">
        <v>0</v>
      </c>
      <c r="K185" s="116">
        <v>60</v>
      </c>
      <c r="L185" s="116">
        <v>698</v>
      </c>
      <c r="M185" s="125">
        <v>0.6716839134524929</v>
      </c>
      <c r="N185" s="125">
        <v>0.61262902246508799</v>
      </c>
      <c r="O185" s="125" t="s">
        <v>41</v>
      </c>
      <c r="P185" s="125">
        <v>0.87473903966597077</v>
      </c>
      <c r="Q185" s="56">
        <v>0.60178554528534023</v>
      </c>
      <c r="R185" s="125">
        <v>0.60617886178861791</v>
      </c>
      <c r="S185" s="97" t="s">
        <v>836</v>
      </c>
      <c r="Y185" s="99">
        <v>1009</v>
      </c>
      <c r="Z185" s="99">
        <v>0</v>
      </c>
      <c r="AA185" s="99">
        <v>419</v>
      </c>
      <c r="AB185" s="99">
        <v>1428</v>
      </c>
      <c r="AG185" s="99">
        <v>19076</v>
      </c>
      <c r="AH185" s="99">
        <v>20504</v>
      </c>
      <c r="AI185" s="99">
        <v>12623</v>
      </c>
      <c r="AJ185" s="99">
        <v>13321</v>
      </c>
    </row>
    <row r="186" spans="2:36" x14ac:dyDescent="0.15">
      <c r="B186" s="123" t="s">
        <v>640</v>
      </c>
      <c r="C186" s="123" t="s">
        <v>870</v>
      </c>
      <c r="D186" s="124" t="s">
        <v>786</v>
      </c>
      <c r="E186" s="116">
        <v>0</v>
      </c>
      <c r="F186" s="116">
        <v>0</v>
      </c>
      <c r="G186" s="116">
        <v>0</v>
      </c>
      <c r="H186" s="116">
        <v>0</v>
      </c>
      <c r="I186" s="116">
        <v>0</v>
      </c>
      <c r="J186" s="116">
        <v>0</v>
      </c>
      <c r="K186" s="116">
        <v>0</v>
      </c>
      <c r="L186" s="116">
        <v>0</v>
      </c>
      <c r="M186" s="125" t="s">
        <v>41</v>
      </c>
      <c r="N186" s="125" t="s">
        <v>41</v>
      </c>
      <c r="O186" s="125" t="s">
        <v>41</v>
      </c>
      <c r="P186" s="125" t="s">
        <v>41</v>
      </c>
      <c r="Q186" s="56">
        <v>1</v>
      </c>
      <c r="R186" s="125">
        <v>1</v>
      </c>
      <c r="S186" s="97" t="s">
        <v>87</v>
      </c>
      <c r="Y186" s="99">
        <v>0</v>
      </c>
      <c r="Z186" s="99">
        <v>0</v>
      </c>
      <c r="AA186" s="99">
        <v>0</v>
      </c>
      <c r="AB186" s="99">
        <v>0</v>
      </c>
      <c r="AG186" s="99">
        <v>5085</v>
      </c>
      <c r="AH186" s="99">
        <v>5085</v>
      </c>
      <c r="AI186" s="99">
        <v>0</v>
      </c>
      <c r="AJ186" s="99">
        <v>0</v>
      </c>
    </row>
    <row r="187" spans="2:36" x14ac:dyDescent="0.15">
      <c r="B187" s="123" t="s">
        <v>664</v>
      </c>
      <c r="C187" s="123" t="s">
        <v>870</v>
      </c>
      <c r="D187" s="124" t="s">
        <v>666</v>
      </c>
      <c r="E187" s="116">
        <v>0</v>
      </c>
      <c r="F187" s="116">
        <v>0</v>
      </c>
      <c r="G187" s="116">
        <v>0</v>
      </c>
      <c r="H187" s="116">
        <v>0</v>
      </c>
      <c r="I187" s="116">
        <v>0</v>
      </c>
      <c r="J187" s="116">
        <v>0</v>
      </c>
      <c r="K187" s="116">
        <v>0</v>
      </c>
      <c r="L187" s="116">
        <v>0</v>
      </c>
      <c r="M187" s="125" t="s">
        <v>41</v>
      </c>
      <c r="N187" s="125" t="s">
        <v>41</v>
      </c>
      <c r="O187" s="125" t="s">
        <v>41</v>
      </c>
      <c r="P187" s="125" t="s">
        <v>41</v>
      </c>
      <c r="Q187" s="56">
        <v>0.96970789758384424</v>
      </c>
      <c r="R187" s="125">
        <v>0.96970789758384424</v>
      </c>
      <c r="S187" s="97" t="s">
        <v>836</v>
      </c>
      <c r="Y187" s="99">
        <v>0</v>
      </c>
      <c r="Z187" s="99">
        <v>0</v>
      </c>
      <c r="AA187" s="99">
        <v>0</v>
      </c>
      <c r="AB187" s="99">
        <v>0</v>
      </c>
      <c r="AG187" s="99">
        <v>2689</v>
      </c>
      <c r="AH187" s="99">
        <v>2689</v>
      </c>
      <c r="AI187" s="99">
        <v>84</v>
      </c>
      <c r="AJ187" s="99">
        <v>84</v>
      </c>
    </row>
    <row r="188" spans="2:36" x14ac:dyDescent="0.15">
      <c r="B188" s="123" t="s">
        <v>569</v>
      </c>
      <c r="C188" s="123" t="s">
        <v>871</v>
      </c>
      <c r="D188" s="124" t="s">
        <v>864</v>
      </c>
      <c r="E188" s="116">
        <v>0</v>
      </c>
      <c r="F188" s="116">
        <v>0</v>
      </c>
      <c r="G188" s="116">
        <v>0</v>
      </c>
      <c r="H188" s="116">
        <v>0</v>
      </c>
      <c r="I188" s="116">
        <v>0</v>
      </c>
      <c r="J188" s="116">
        <v>0</v>
      </c>
      <c r="K188" s="116">
        <v>0</v>
      </c>
      <c r="L188" s="116">
        <v>0</v>
      </c>
      <c r="M188" s="125" t="s">
        <v>41</v>
      </c>
      <c r="N188" s="125" t="s">
        <v>41</v>
      </c>
      <c r="O188" s="125" t="s">
        <v>41</v>
      </c>
      <c r="P188" s="125" t="s">
        <v>41</v>
      </c>
      <c r="Q188" s="56">
        <v>0.69672445669236405</v>
      </c>
      <c r="R188" s="125">
        <v>0.69672445669236405</v>
      </c>
      <c r="S188" s="97" t="s">
        <v>49</v>
      </c>
      <c r="Y188" s="99">
        <v>0</v>
      </c>
      <c r="Z188" s="99">
        <v>0</v>
      </c>
      <c r="AA188" s="99">
        <v>0</v>
      </c>
      <c r="AB188" s="99">
        <v>0</v>
      </c>
      <c r="AG188" s="99">
        <v>19973</v>
      </c>
      <c r="AH188" s="99">
        <v>19973</v>
      </c>
      <c r="AI188" s="99">
        <v>8694</v>
      </c>
      <c r="AJ188" s="99">
        <v>8694</v>
      </c>
    </row>
    <row r="189" spans="2:36" x14ac:dyDescent="0.15">
      <c r="B189" s="123" t="s">
        <v>798</v>
      </c>
      <c r="C189" s="123" t="s">
        <v>871</v>
      </c>
      <c r="D189" s="124" t="s">
        <v>794</v>
      </c>
      <c r="E189" s="116">
        <v>0</v>
      </c>
      <c r="F189" s="116">
        <v>0</v>
      </c>
      <c r="G189" s="116">
        <v>0</v>
      </c>
      <c r="H189" s="116">
        <v>0</v>
      </c>
      <c r="I189" s="116">
        <v>0</v>
      </c>
      <c r="J189" s="116">
        <v>0</v>
      </c>
      <c r="K189" s="116">
        <v>0</v>
      </c>
      <c r="L189" s="116">
        <v>0</v>
      </c>
      <c r="M189" s="125" t="s">
        <v>41</v>
      </c>
      <c r="N189" s="125" t="s">
        <v>41</v>
      </c>
      <c r="O189" s="125" t="s">
        <v>41</v>
      </c>
      <c r="P189" s="125" t="s">
        <v>41</v>
      </c>
      <c r="Q189" s="56">
        <v>0.98398674765323024</v>
      </c>
      <c r="R189" s="125">
        <v>0.98398674765323024</v>
      </c>
      <c r="S189" s="97" t="s">
        <v>43</v>
      </c>
      <c r="Y189" s="99">
        <v>0</v>
      </c>
      <c r="Z189" s="99">
        <v>0</v>
      </c>
      <c r="AA189" s="99">
        <v>0</v>
      </c>
      <c r="AB189" s="99">
        <v>0</v>
      </c>
      <c r="AG189" s="99">
        <v>1782</v>
      </c>
      <c r="AH189" s="99">
        <v>1782</v>
      </c>
      <c r="AI189" s="99">
        <v>29</v>
      </c>
      <c r="AJ189" s="99">
        <v>29</v>
      </c>
    </row>
    <row r="190" spans="2:36" x14ac:dyDescent="0.15">
      <c r="B190" s="123" t="s">
        <v>586</v>
      </c>
      <c r="C190" s="123" t="s">
        <v>871</v>
      </c>
      <c r="D190" s="124" t="s">
        <v>587</v>
      </c>
      <c r="E190" s="116">
        <v>0</v>
      </c>
      <c r="F190" s="116">
        <v>0</v>
      </c>
      <c r="G190" s="116">
        <v>0</v>
      </c>
      <c r="H190" s="116">
        <v>0</v>
      </c>
      <c r="I190" s="116">
        <v>0</v>
      </c>
      <c r="J190" s="116">
        <v>0</v>
      </c>
      <c r="K190" s="116">
        <v>0</v>
      </c>
      <c r="L190" s="116">
        <v>0</v>
      </c>
      <c r="M190" s="125" t="s">
        <v>41</v>
      </c>
      <c r="N190" s="125" t="s">
        <v>41</v>
      </c>
      <c r="O190" s="125" t="s">
        <v>41</v>
      </c>
      <c r="P190" s="125" t="s">
        <v>41</v>
      </c>
      <c r="Q190" s="56" t="s">
        <v>41</v>
      </c>
      <c r="R190" s="125" t="s">
        <v>41</v>
      </c>
      <c r="S190" s="97" t="s">
        <v>57</v>
      </c>
      <c r="Y190" s="99">
        <v>0</v>
      </c>
      <c r="Z190" s="99">
        <v>0</v>
      </c>
      <c r="AA190" s="99">
        <v>0</v>
      </c>
      <c r="AB190" s="99">
        <v>0</v>
      </c>
      <c r="AG190" s="99">
        <v>0</v>
      </c>
      <c r="AH190" s="99">
        <v>0</v>
      </c>
      <c r="AI190" s="99">
        <v>0</v>
      </c>
      <c r="AJ190" s="99">
        <v>0</v>
      </c>
    </row>
    <row r="191" spans="2:36" x14ac:dyDescent="0.15">
      <c r="B191" s="123" t="s">
        <v>603</v>
      </c>
      <c r="C191" s="123" t="s">
        <v>871</v>
      </c>
      <c r="D191" s="124" t="s">
        <v>604</v>
      </c>
      <c r="E191" s="116">
        <v>391</v>
      </c>
      <c r="F191" s="116">
        <v>0</v>
      </c>
      <c r="G191" s="116">
        <v>4436</v>
      </c>
      <c r="H191" s="116">
        <v>4827</v>
      </c>
      <c r="I191" s="116">
        <v>91</v>
      </c>
      <c r="J191" s="116">
        <v>0</v>
      </c>
      <c r="K191" s="116">
        <v>6</v>
      </c>
      <c r="L191" s="116">
        <v>97</v>
      </c>
      <c r="M191" s="125">
        <v>0.97990470271390095</v>
      </c>
      <c r="N191" s="125">
        <v>0.76726342710997442</v>
      </c>
      <c r="O191" s="125" t="s">
        <v>41</v>
      </c>
      <c r="P191" s="125">
        <v>0.99864743011722268</v>
      </c>
      <c r="Q191" s="56">
        <v>0.59313322368421051</v>
      </c>
      <c r="R191" s="125">
        <v>0.78578062119492309</v>
      </c>
      <c r="S191" s="97" t="s">
        <v>65</v>
      </c>
      <c r="Y191" s="99">
        <v>300</v>
      </c>
      <c r="Z191" s="99">
        <v>0</v>
      </c>
      <c r="AA191" s="99">
        <v>4430</v>
      </c>
      <c r="AB191" s="99">
        <v>4730</v>
      </c>
      <c r="AG191" s="99">
        <v>2885</v>
      </c>
      <c r="AH191" s="99">
        <v>7615</v>
      </c>
      <c r="AI191" s="99">
        <v>1979</v>
      </c>
      <c r="AJ191" s="99">
        <v>2076</v>
      </c>
    </row>
    <row r="192" spans="2:36" x14ac:dyDescent="0.15">
      <c r="B192" s="123" t="s">
        <v>605</v>
      </c>
      <c r="C192" s="123" t="s">
        <v>871</v>
      </c>
      <c r="D192" s="124" t="s">
        <v>606</v>
      </c>
      <c r="E192" s="116">
        <v>0</v>
      </c>
      <c r="F192" s="116">
        <v>0</v>
      </c>
      <c r="G192" s="116">
        <v>0</v>
      </c>
      <c r="H192" s="116">
        <v>0</v>
      </c>
      <c r="I192" s="116">
        <v>0</v>
      </c>
      <c r="J192" s="116">
        <v>0</v>
      </c>
      <c r="K192" s="116">
        <v>0</v>
      </c>
      <c r="L192" s="116">
        <v>0</v>
      </c>
      <c r="M192" s="125" t="s">
        <v>41</v>
      </c>
      <c r="N192" s="125" t="s">
        <v>41</v>
      </c>
      <c r="O192" s="125" t="s">
        <v>41</v>
      </c>
      <c r="P192" s="125" t="s">
        <v>41</v>
      </c>
      <c r="Q192" s="56" t="s">
        <v>41</v>
      </c>
      <c r="R192" s="125" t="s">
        <v>41</v>
      </c>
      <c r="S192" s="97" t="s">
        <v>65</v>
      </c>
      <c r="Y192" s="99">
        <v>0</v>
      </c>
      <c r="Z192" s="99">
        <v>0</v>
      </c>
      <c r="AA192" s="99">
        <v>0</v>
      </c>
      <c r="AB192" s="99">
        <v>0</v>
      </c>
      <c r="AG192" s="99">
        <v>0</v>
      </c>
      <c r="AH192" s="99">
        <v>0</v>
      </c>
      <c r="AI192" s="99">
        <v>0</v>
      </c>
      <c r="AJ192" s="99">
        <v>0</v>
      </c>
    </row>
    <row r="193" spans="2:36" x14ac:dyDescent="0.15">
      <c r="B193" s="123" t="s">
        <v>619</v>
      </c>
      <c r="C193" s="123" t="s">
        <v>871</v>
      </c>
      <c r="D193" s="124" t="s">
        <v>831</v>
      </c>
      <c r="E193" s="116">
        <v>0</v>
      </c>
      <c r="F193" s="116">
        <v>0</v>
      </c>
      <c r="G193" s="116">
        <v>0</v>
      </c>
      <c r="H193" s="116">
        <v>0</v>
      </c>
      <c r="I193" s="116">
        <v>0</v>
      </c>
      <c r="J193" s="116">
        <v>0</v>
      </c>
      <c r="K193" s="116">
        <v>0</v>
      </c>
      <c r="L193" s="116">
        <v>0</v>
      </c>
      <c r="M193" s="125" t="s">
        <v>41</v>
      </c>
      <c r="N193" s="125" t="s">
        <v>41</v>
      </c>
      <c r="O193" s="125" t="s">
        <v>41</v>
      </c>
      <c r="P193" s="125" t="s">
        <v>41</v>
      </c>
      <c r="Q193" s="56">
        <v>0.96105452366686639</v>
      </c>
      <c r="R193" s="125">
        <v>0.96105452366686639</v>
      </c>
      <c r="S193" s="97" t="s">
        <v>71</v>
      </c>
      <c r="Y193" s="99">
        <v>0</v>
      </c>
      <c r="Z193" s="99">
        <v>0</v>
      </c>
      <c r="AA193" s="99">
        <v>0</v>
      </c>
      <c r="AB193" s="99">
        <v>0</v>
      </c>
      <c r="AG193" s="99">
        <v>8020</v>
      </c>
      <c r="AH193" s="99">
        <v>8020</v>
      </c>
      <c r="AI193" s="99">
        <v>325</v>
      </c>
      <c r="AJ193" s="99">
        <v>325</v>
      </c>
    </row>
    <row r="194" spans="2:36" x14ac:dyDescent="0.15">
      <c r="B194" s="123" t="s">
        <v>621</v>
      </c>
      <c r="C194" s="123" t="s">
        <v>871</v>
      </c>
      <c r="D194" s="124" t="s">
        <v>622</v>
      </c>
      <c r="E194" s="116">
        <v>0</v>
      </c>
      <c r="F194" s="116">
        <v>0</v>
      </c>
      <c r="G194" s="116">
        <v>0</v>
      </c>
      <c r="H194" s="116">
        <v>0</v>
      </c>
      <c r="I194" s="116">
        <v>0</v>
      </c>
      <c r="J194" s="116">
        <v>0</v>
      </c>
      <c r="K194" s="116">
        <v>0</v>
      </c>
      <c r="L194" s="116">
        <v>0</v>
      </c>
      <c r="M194" s="125" t="s">
        <v>41</v>
      </c>
      <c r="N194" s="125" t="s">
        <v>41</v>
      </c>
      <c r="O194" s="125" t="s">
        <v>41</v>
      </c>
      <c r="P194" s="125" t="s">
        <v>41</v>
      </c>
      <c r="Q194" s="56">
        <v>0.61829012387463611</v>
      </c>
      <c r="R194" s="125">
        <v>0.61829012387463611</v>
      </c>
      <c r="S194" s="97" t="s">
        <v>71</v>
      </c>
      <c r="Y194" s="99">
        <v>0</v>
      </c>
      <c r="Z194" s="99">
        <v>0</v>
      </c>
      <c r="AA194" s="99">
        <v>0</v>
      </c>
      <c r="AB194" s="99">
        <v>0</v>
      </c>
      <c r="AG194" s="99">
        <v>9134</v>
      </c>
      <c r="AH194" s="99">
        <v>9134</v>
      </c>
      <c r="AI194" s="99">
        <v>5639</v>
      </c>
      <c r="AJ194" s="99">
        <v>5639</v>
      </c>
    </row>
    <row r="195" spans="2:36" x14ac:dyDescent="0.15">
      <c r="B195" s="123" t="s">
        <v>552</v>
      </c>
      <c r="C195" s="123" t="s">
        <v>871</v>
      </c>
      <c r="D195" s="124" t="s">
        <v>553</v>
      </c>
      <c r="E195" s="116">
        <v>0</v>
      </c>
      <c r="F195" s="116">
        <v>0</v>
      </c>
      <c r="G195" s="116">
        <v>0</v>
      </c>
      <c r="H195" s="116">
        <v>0</v>
      </c>
      <c r="I195" s="116">
        <v>0</v>
      </c>
      <c r="J195" s="116">
        <v>0</v>
      </c>
      <c r="K195" s="116">
        <v>0</v>
      </c>
      <c r="L195" s="116">
        <v>0</v>
      </c>
      <c r="M195" s="125" t="s">
        <v>41</v>
      </c>
      <c r="N195" s="125" t="s">
        <v>41</v>
      </c>
      <c r="O195" s="125" t="s">
        <v>41</v>
      </c>
      <c r="P195" s="125" t="s">
        <v>41</v>
      </c>
      <c r="Q195" s="56">
        <v>0.65568172794409596</v>
      </c>
      <c r="R195" s="125">
        <v>0.65568172794409596</v>
      </c>
      <c r="S195" s="97" t="s">
        <v>43</v>
      </c>
      <c r="Y195" s="99">
        <v>0</v>
      </c>
      <c r="Z195" s="99">
        <v>0</v>
      </c>
      <c r="AA195" s="99">
        <v>0</v>
      </c>
      <c r="AB195" s="99">
        <v>0</v>
      </c>
      <c r="AG195" s="99">
        <v>8257</v>
      </c>
      <c r="AH195" s="99">
        <v>8257</v>
      </c>
      <c r="AI195" s="99">
        <v>4336</v>
      </c>
      <c r="AJ195" s="99">
        <v>4336</v>
      </c>
    </row>
    <row r="196" spans="2:36" x14ac:dyDescent="0.15">
      <c r="B196" s="123" t="s">
        <v>596</v>
      </c>
      <c r="C196" s="123" t="s">
        <v>871</v>
      </c>
      <c r="D196" s="124" t="s">
        <v>597</v>
      </c>
      <c r="E196" s="116">
        <v>0</v>
      </c>
      <c r="F196" s="116">
        <v>0</v>
      </c>
      <c r="G196" s="116">
        <v>0</v>
      </c>
      <c r="H196" s="116">
        <v>0</v>
      </c>
      <c r="I196" s="116">
        <v>0</v>
      </c>
      <c r="J196" s="116">
        <v>0</v>
      </c>
      <c r="K196" s="116">
        <v>0</v>
      </c>
      <c r="L196" s="116">
        <v>0</v>
      </c>
      <c r="M196" s="125" t="s">
        <v>41</v>
      </c>
      <c r="N196" s="125" t="s">
        <v>41</v>
      </c>
      <c r="O196" s="125" t="s">
        <v>41</v>
      </c>
      <c r="P196" s="125" t="s">
        <v>41</v>
      </c>
      <c r="Q196" s="56">
        <v>1</v>
      </c>
      <c r="R196" s="125">
        <v>1</v>
      </c>
      <c r="S196" s="97" t="s">
        <v>63</v>
      </c>
      <c r="Y196" s="99">
        <v>0</v>
      </c>
      <c r="Z196" s="99">
        <v>0</v>
      </c>
      <c r="AA196" s="99">
        <v>0</v>
      </c>
      <c r="AB196" s="99">
        <v>0</v>
      </c>
      <c r="AG196" s="99">
        <v>67</v>
      </c>
      <c r="AH196" s="99">
        <v>67</v>
      </c>
      <c r="AI196" s="99">
        <v>0</v>
      </c>
      <c r="AJ196" s="99">
        <v>0</v>
      </c>
    </row>
    <row r="197" spans="2:36" x14ac:dyDescent="0.15">
      <c r="B197" s="123" t="s">
        <v>556</v>
      </c>
      <c r="C197" s="123" t="s">
        <v>871</v>
      </c>
      <c r="D197" s="124" t="s">
        <v>555</v>
      </c>
      <c r="E197" s="116">
        <v>0</v>
      </c>
      <c r="F197" s="116">
        <v>0</v>
      </c>
      <c r="G197" s="116">
        <v>0</v>
      </c>
      <c r="H197" s="116">
        <v>0</v>
      </c>
      <c r="I197" s="116">
        <v>0</v>
      </c>
      <c r="J197" s="116">
        <v>0</v>
      </c>
      <c r="K197" s="116">
        <v>0</v>
      </c>
      <c r="L197" s="116">
        <v>0</v>
      </c>
      <c r="M197" s="125" t="s">
        <v>41</v>
      </c>
      <c r="N197" s="125" t="s">
        <v>41</v>
      </c>
      <c r="O197" s="125" t="s">
        <v>41</v>
      </c>
      <c r="P197" s="125" t="s">
        <v>41</v>
      </c>
      <c r="Q197" s="56">
        <v>0.99710564399421131</v>
      </c>
      <c r="R197" s="125">
        <v>0.99710564399421131</v>
      </c>
      <c r="S197" s="97" t="s">
        <v>43</v>
      </c>
      <c r="Y197" s="99">
        <v>0</v>
      </c>
      <c r="Z197" s="99">
        <v>0</v>
      </c>
      <c r="AA197" s="99">
        <v>0</v>
      </c>
      <c r="AB197" s="99">
        <v>0</v>
      </c>
      <c r="AG197" s="99">
        <v>1378</v>
      </c>
      <c r="AH197" s="99">
        <v>1378</v>
      </c>
      <c r="AI197" s="99">
        <v>4</v>
      </c>
      <c r="AJ197" s="99">
        <v>4</v>
      </c>
    </row>
    <row r="198" spans="2:36" x14ac:dyDescent="0.15">
      <c r="B198" s="123" t="s">
        <v>588</v>
      </c>
      <c r="C198" s="123" t="s">
        <v>871</v>
      </c>
      <c r="D198" s="124" t="s">
        <v>589</v>
      </c>
      <c r="E198" s="116">
        <v>0</v>
      </c>
      <c r="F198" s="116">
        <v>0</v>
      </c>
      <c r="G198" s="116">
        <v>0</v>
      </c>
      <c r="H198" s="116">
        <v>0</v>
      </c>
      <c r="I198" s="116">
        <v>0</v>
      </c>
      <c r="J198" s="116">
        <v>0</v>
      </c>
      <c r="K198" s="116">
        <v>0</v>
      </c>
      <c r="L198" s="116">
        <v>0</v>
      </c>
      <c r="M198" s="125" t="s">
        <v>41</v>
      </c>
      <c r="N198" s="125" t="s">
        <v>41</v>
      </c>
      <c r="O198" s="125" t="s">
        <v>41</v>
      </c>
      <c r="P198" s="125" t="s">
        <v>41</v>
      </c>
      <c r="Q198" s="56">
        <v>0.75468535730610997</v>
      </c>
      <c r="R198" s="125">
        <v>0.75468535730610997</v>
      </c>
      <c r="S198" s="97" t="s">
        <v>57</v>
      </c>
      <c r="Y198" s="99">
        <v>0</v>
      </c>
      <c r="Z198" s="99">
        <v>0</v>
      </c>
      <c r="AA198" s="99">
        <v>0</v>
      </c>
      <c r="AB198" s="99">
        <v>0</v>
      </c>
      <c r="AG198" s="99">
        <v>14859</v>
      </c>
      <c r="AH198" s="99">
        <v>14859</v>
      </c>
      <c r="AI198" s="99">
        <v>4830</v>
      </c>
      <c r="AJ198" s="99">
        <v>4830</v>
      </c>
    </row>
    <row r="199" spans="2:36" x14ac:dyDescent="0.15">
      <c r="B199" s="123" t="s">
        <v>600</v>
      </c>
      <c r="C199" s="123" t="s">
        <v>871</v>
      </c>
      <c r="D199" s="124" t="s">
        <v>601</v>
      </c>
      <c r="E199" s="116">
        <v>1660</v>
      </c>
      <c r="F199" s="116">
        <v>0</v>
      </c>
      <c r="G199" s="116">
        <v>96</v>
      </c>
      <c r="H199" s="116">
        <v>1756</v>
      </c>
      <c r="I199" s="116">
        <v>819</v>
      </c>
      <c r="J199" s="116">
        <v>0</v>
      </c>
      <c r="K199" s="116">
        <v>1</v>
      </c>
      <c r="L199" s="116">
        <v>820</v>
      </c>
      <c r="M199" s="125">
        <v>0.53302961275626426</v>
      </c>
      <c r="N199" s="125">
        <v>0.50662650602409642</v>
      </c>
      <c r="O199" s="125" t="s">
        <v>41</v>
      </c>
      <c r="P199" s="125">
        <v>0.98958333333333337</v>
      </c>
      <c r="Q199" s="56">
        <v>0.63782406381564372</v>
      </c>
      <c r="R199" s="125">
        <v>0.62853392568659128</v>
      </c>
      <c r="S199" s="97" t="s">
        <v>63</v>
      </c>
      <c r="Y199" s="99">
        <v>841</v>
      </c>
      <c r="Z199" s="99">
        <v>0</v>
      </c>
      <c r="AA199" s="99">
        <v>95</v>
      </c>
      <c r="AB199" s="99">
        <v>936</v>
      </c>
      <c r="AG199" s="99">
        <v>11514</v>
      </c>
      <c r="AH199" s="99">
        <v>12450</v>
      </c>
      <c r="AI199" s="99">
        <v>6538</v>
      </c>
      <c r="AJ199" s="99">
        <v>7358</v>
      </c>
    </row>
    <row r="200" spans="2:36" x14ac:dyDescent="0.15">
      <c r="B200" s="123" t="s">
        <v>557</v>
      </c>
      <c r="C200" s="123" t="s">
        <v>871</v>
      </c>
      <c r="D200" s="124" t="s">
        <v>558</v>
      </c>
      <c r="E200" s="116">
        <v>0</v>
      </c>
      <c r="F200" s="116">
        <v>0</v>
      </c>
      <c r="G200" s="116">
        <v>0</v>
      </c>
      <c r="H200" s="116">
        <v>0</v>
      </c>
      <c r="I200" s="116">
        <v>0</v>
      </c>
      <c r="J200" s="116">
        <v>0</v>
      </c>
      <c r="K200" s="116">
        <v>0</v>
      </c>
      <c r="L200" s="116">
        <v>0</v>
      </c>
      <c r="M200" s="125" t="s">
        <v>41</v>
      </c>
      <c r="N200" s="125" t="s">
        <v>41</v>
      </c>
      <c r="O200" s="125" t="s">
        <v>41</v>
      </c>
      <c r="P200" s="125" t="s">
        <v>41</v>
      </c>
      <c r="Q200" s="56">
        <v>0.56721485411140582</v>
      </c>
      <c r="R200" s="125">
        <v>0.56721485411140582</v>
      </c>
      <c r="S200" s="97" t="s">
        <v>43</v>
      </c>
      <c r="Y200" s="99">
        <v>0</v>
      </c>
      <c r="Z200" s="99">
        <v>0</v>
      </c>
      <c r="AA200" s="99">
        <v>0</v>
      </c>
      <c r="AB200" s="99">
        <v>0</v>
      </c>
      <c r="AG200" s="99">
        <v>5346</v>
      </c>
      <c r="AH200" s="99">
        <v>5346</v>
      </c>
      <c r="AI200" s="99">
        <v>4079</v>
      </c>
      <c r="AJ200" s="99">
        <v>4079</v>
      </c>
    </row>
    <row r="201" spans="2:36" x14ac:dyDescent="0.15">
      <c r="B201" s="123" t="s">
        <v>559</v>
      </c>
      <c r="C201" s="123" t="s">
        <v>871</v>
      </c>
      <c r="D201" s="124" t="s">
        <v>560</v>
      </c>
      <c r="E201" s="116">
        <v>0</v>
      </c>
      <c r="F201" s="116">
        <v>0</v>
      </c>
      <c r="G201" s="116">
        <v>0</v>
      </c>
      <c r="H201" s="116">
        <v>0</v>
      </c>
      <c r="I201" s="116">
        <v>0</v>
      </c>
      <c r="J201" s="116">
        <v>0</v>
      </c>
      <c r="K201" s="116">
        <v>0</v>
      </c>
      <c r="L201" s="116">
        <v>0</v>
      </c>
      <c r="M201" s="125" t="s">
        <v>41</v>
      </c>
      <c r="N201" s="125" t="s">
        <v>41</v>
      </c>
      <c r="O201" s="125" t="s">
        <v>41</v>
      </c>
      <c r="P201" s="125" t="s">
        <v>41</v>
      </c>
      <c r="Q201" s="56">
        <v>0.66493886230728338</v>
      </c>
      <c r="R201" s="125">
        <v>0.66493886230728338</v>
      </c>
      <c r="S201" s="97" t="s">
        <v>43</v>
      </c>
      <c r="Y201" s="99">
        <v>0</v>
      </c>
      <c r="Z201" s="99">
        <v>0</v>
      </c>
      <c r="AA201" s="99">
        <v>0</v>
      </c>
      <c r="AB201" s="99">
        <v>0</v>
      </c>
      <c r="AG201" s="99">
        <v>5003</v>
      </c>
      <c r="AH201" s="99">
        <v>5003</v>
      </c>
      <c r="AI201" s="99">
        <v>2521</v>
      </c>
      <c r="AJ201" s="99">
        <v>2521</v>
      </c>
    </row>
    <row r="202" spans="2:36" x14ac:dyDescent="0.15">
      <c r="B202" s="123" t="s">
        <v>565</v>
      </c>
      <c r="C202" s="123" t="s">
        <v>871</v>
      </c>
      <c r="D202" s="124" t="s">
        <v>829</v>
      </c>
      <c r="E202" s="116">
        <v>0</v>
      </c>
      <c r="F202" s="116">
        <v>0</v>
      </c>
      <c r="G202" s="116">
        <v>299</v>
      </c>
      <c r="H202" s="116">
        <v>299</v>
      </c>
      <c r="I202" s="116">
        <v>0</v>
      </c>
      <c r="J202" s="116">
        <v>0</v>
      </c>
      <c r="K202" s="116">
        <v>90</v>
      </c>
      <c r="L202" s="116">
        <v>90</v>
      </c>
      <c r="M202" s="125">
        <v>0.69899665551839463</v>
      </c>
      <c r="N202" s="125" t="s">
        <v>41</v>
      </c>
      <c r="O202" s="125" t="s">
        <v>41</v>
      </c>
      <c r="P202" s="125">
        <v>0.69899665551839463</v>
      </c>
      <c r="Q202" s="56">
        <v>0.9516430948419301</v>
      </c>
      <c r="R202" s="125">
        <v>0.94402420574886536</v>
      </c>
      <c r="S202" s="97" t="s">
        <v>49</v>
      </c>
      <c r="Y202" s="99">
        <v>0</v>
      </c>
      <c r="Z202" s="99">
        <v>0</v>
      </c>
      <c r="AA202" s="99">
        <v>209</v>
      </c>
      <c r="AB202" s="99">
        <v>209</v>
      </c>
      <c r="AG202" s="99">
        <v>9151</v>
      </c>
      <c r="AH202" s="99">
        <v>9360</v>
      </c>
      <c r="AI202" s="99">
        <v>465</v>
      </c>
      <c r="AJ202" s="99">
        <v>555</v>
      </c>
    </row>
    <row r="203" spans="2:36" x14ac:dyDescent="0.15">
      <c r="B203" s="123" t="s">
        <v>648</v>
      </c>
      <c r="C203" s="123" t="s">
        <v>871</v>
      </c>
      <c r="D203" s="124" t="s">
        <v>649</v>
      </c>
      <c r="E203" s="116">
        <v>0</v>
      </c>
      <c r="F203" s="116">
        <v>0</v>
      </c>
      <c r="G203" s="116">
        <v>29</v>
      </c>
      <c r="H203" s="116">
        <v>29</v>
      </c>
      <c r="I203" s="116">
        <v>0</v>
      </c>
      <c r="J203" s="116">
        <v>0</v>
      </c>
      <c r="K203" s="116">
        <v>1</v>
      </c>
      <c r="L203" s="116">
        <v>1</v>
      </c>
      <c r="M203" s="125">
        <v>0.96551724137931039</v>
      </c>
      <c r="N203" s="125" t="s">
        <v>41</v>
      </c>
      <c r="O203" s="125" t="s">
        <v>41</v>
      </c>
      <c r="P203" s="125">
        <v>0.96551724137931039</v>
      </c>
      <c r="Q203" s="56">
        <v>0.71694309539081824</v>
      </c>
      <c r="R203" s="125">
        <v>0.71727293525509039</v>
      </c>
      <c r="S203" s="97" t="s">
        <v>109</v>
      </c>
      <c r="Y203" s="99">
        <v>0</v>
      </c>
      <c r="Z203" s="99">
        <v>0</v>
      </c>
      <c r="AA203" s="99">
        <v>28</v>
      </c>
      <c r="AB203" s="99">
        <v>28</v>
      </c>
      <c r="AG203" s="99">
        <v>15648</v>
      </c>
      <c r="AH203" s="99">
        <v>15676</v>
      </c>
      <c r="AI203" s="99">
        <v>6178</v>
      </c>
      <c r="AJ203" s="99">
        <v>6179</v>
      </c>
    </row>
    <row r="204" spans="2:36" x14ac:dyDescent="0.15">
      <c r="B204" s="123" t="s">
        <v>607</v>
      </c>
      <c r="C204" s="123" t="s">
        <v>871</v>
      </c>
      <c r="D204" s="124" t="s">
        <v>608</v>
      </c>
      <c r="E204" s="116">
        <v>0</v>
      </c>
      <c r="F204" s="116">
        <v>0</v>
      </c>
      <c r="G204" s="116">
        <v>40</v>
      </c>
      <c r="H204" s="116">
        <v>40</v>
      </c>
      <c r="I204" s="116">
        <v>0</v>
      </c>
      <c r="J204" s="116">
        <v>0</v>
      </c>
      <c r="K204" s="116">
        <v>3</v>
      </c>
      <c r="L204" s="116">
        <v>3</v>
      </c>
      <c r="M204" s="125">
        <v>0.92500000000000004</v>
      </c>
      <c r="N204" s="125" t="s">
        <v>41</v>
      </c>
      <c r="O204" s="125" t="s">
        <v>41</v>
      </c>
      <c r="P204" s="125">
        <v>0.92500000000000004</v>
      </c>
      <c r="Q204" s="56">
        <v>0.93840985442329228</v>
      </c>
      <c r="R204" s="125">
        <v>0.93811610076670315</v>
      </c>
      <c r="S204" s="97" t="s">
        <v>63</v>
      </c>
      <c r="Y204" s="99">
        <v>0</v>
      </c>
      <c r="Z204" s="99">
        <v>0</v>
      </c>
      <c r="AA204" s="99">
        <v>37</v>
      </c>
      <c r="AB204" s="99">
        <v>37</v>
      </c>
      <c r="AG204" s="99">
        <v>1676</v>
      </c>
      <c r="AH204" s="99">
        <v>1713</v>
      </c>
      <c r="AI204" s="99">
        <v>110</v>
      </c>
      <c r="AJ204" s="99">
        <v>113</v>
      </c>
    </row>
    <row r="205" spans="2:36" x14ac:dyDescent="0.15">
      <c r="B205" s="123" t="s">
        <v>623</v>
      </c>
      <c r="C205" s="123" t="s">
        <v>871</v>
      </c>
      <c r="D205" s="124" t="s">
        <v>624</v>
      </c>
      <c r="E205" s="116">
        <v>0</v>
      </c>
      <c r="F205" s="116">
        <v>0</v>
      </c>
      <c r="G205" s="116">
        <v>0</v>
      </c>
      <c r="H205" s="116">
        <v>0</v>
      </c>
      <c r="I205" s="116">
        <v>0</v>
      </c>
      <c r="J205" s="116">
        <v>0</v>
      </c>
      <c r="K205" s="116">
        <v>0</v>
      </c>
      <c r="L205" s="116">
        <v>0</v>
      </c>
      <c r="M205" s="125" t="s">
        <v>41</v>
      </c>
      <c r="N205" s="125" t="s">
        <v>41</v>
      </c>
      <c r="O205" s="125" t="s">
        <v>41</v>
      </c>
      <c r="P205" s="125" t="s">
        <v>41</v>
      </c>
      <c r="Q205" s="56">
        <v>1</v>
      </c>
      <c r="R205" s="125">
        <v>1</v>
      </c>
      <c r="S205" s="97" t="s">
        <v>71</v>
      </c>
      <c r="Y205" s="99">
        <v>0</v>
      </c>
      <c r="Z205" s="99">
        <v>0</v>
      </c>
      <c r="AA205" s="99">
        <v>0</v>
      </c>
      <c r="AB205" s="99">
        <v>0</v>
      </c>
      <c r="AG205" s="99">
        <v>702</v>
      </c>
      <c r="AH205" s="99">
        <v>702</v>
      </c>
      <c r="AI205" s="99">
        <v>0</v>
      </c>
      <c r="AJ205" s="99">
        <v>0</v>
      </c>
    </row>
    <row r="206" spans="2:36" x14ac:dyDescent="0.15">
      <c r="B206" s="123" t="s">
        <v>602</v>
      </c>
      <c r="C206" s="123" t="s">
        <v>871</v>
      </c>
      <c r="D206" s="124" t="s">
        <v>750</v>
      </c>
      <c r="E206" s="116">
        <v>0</v>
      </c>
      <c r="F206" s="116">
        <v>0</v>
      </c>
      <c r="G206" s="116">
        <v>0</v>
      </c>
      <c r="H206" s="116">
        <v>0</v>
      </c>
      <c r="I206" s="116">
        <v>0</v>
      </c>
      <c r="J206" s="116">
        <v>0</v>
      </c>
      <c r="K206" s="116">
        <v>0</v>
      </c>
      <c r="L206" s="116">
        <v>0</v>
      </c>
      <c r="M206" s="125" t="s">
        <v>41</v>
      </c>
      <c r="N206" s="125" t="s">
        <v>41</v>
      </c>
      <c r="O206" s="125" t="s">
        <v>41</v>
      </c>
      <c r="P206" s="125" t="s">
        <v>41</v>
      </c>
      <c r="Q206" s="56">
        <v>0.71473523330036859</v>
      </c>
      <c r="R206" s="125">
        <v>0.71473523330036859</v>
      </c>
      <c r="S206" s="97" t="s">
        <v>63</v>
      </c>
      <c r="Y206" s="99">
        <v>0</v>
      </c>
      <c r="Z206" s="99">
        <v>0</v>
      </c>
      <c r="AA206" s="99">
        <v>0</v>
      </c>
      <c r="AB206" s="99">
        <v>0</v>
      </c>
      <c r="AG206" s="99">
        <v>7950</v>
      </c>
      <c r="AH206" s="99">
        <v>7950</v>
      </c>
      <c r="AI206" s="99">
        <v>3173</v>
      </c>
      <c r="AJ206" s="99">
        <v>3173</v>
      </c>
    </row>
    <row r="207" spans="2:36" x14ac:dyDescent="0.15">
      <c r="B207" s="123" t="s">
        <v>799</v>
      </c>
      <c r="C207" s="123" t="s">
        <v>871</v>
      </c>
      <c r="D207" s="124" t="s">
        <v>795</v>
      </c>
      <c r="E207" s="116">
        <v>0</v>
      </c>
      <c r="F207" s="116">
        <v>0</v>
      </c>
      <c r="G207" s="116">
        <v>0</v>
      </c>
      <c r="H207" s="116">
        <v>0</v>
      </c>
      <c r="I207" s="116">
        <v>0</v>
      </c>
      <c r="J207" s="116">
        <v>0</v>
      </c>
      <c r="K207" s="116">
        <v>0</v>
      </c>
      <c r="L207" s="116">
        <v>0</v>
      </c>
      <c r="M207" s="125" t="s">
        <v>41</v>
      </c>
      <c r="N207" s="125" t="s">
        <v>41</v>
      </c>
      <c r="O207" s="125" t="s">
        <v>41</v>
      </c>
      <c r="P207" s="125" t="s">
        <v>41</v>
      </c>
      <c r="Q207" s="56">
        <v>0.98768472906403937</v>
      </c>
      <c r="R207" s="125">
        <v>0.98768472906403937</v>
      </c>
      <c r="S207" s="97" t="s">
        <v>43</v>
      </c>
      <c r="Y207" s="99">
        <v>0</v>
      </c>
      <c r="Z207" s="99">
        <v>0</v>
      </c>
      <c r="AA207" s="99">
        <v>0</v>
      </c>
      <c r="AB207" s="99">
        <v>0</v>
      </c>
      <c r="AG207" s="99">
        <v>1604</v>
      </c>
      <c r="AH207" s="99">
        <v>1604</v>
      </c>
      <c r="AI207" s="99">
        <v>20</v>
      </c>
      <c r="AJ207" s="99">
        <v>20</v>
      </c>
    </row>
    <row r="208" spans="2:36" x14ac:dyDescent="0.15">
      <c r="B208" s="123" t="s">
        <v>609</v>
      </c>
      <c r="C208" s="123" t="s">
        <v>871</v>
      </c>
      <c r="D208" s="124" t="s">
        <v>610</v>
      </c>
      <c r="E208" s="116">
        <v>0</v>
      </c>
      <c r="F208" s="116">
        <v>0</v>
      </c>
      <c r="G208" s="116">
        <v>0</v>
      </c>
      <c r="H208" s="116">
        <v>0</v>
      </c>
      <c r="I208" s="116">
        <v>0</v>
      </c>
      <c r="J208" s="116">
        <v>0</v>
      </c>
      <c r="K208" s="116">
        <v>0</v>
      </c>
      <c r="L208" s="116">
        <v>0</v>
      </c>
      <c r="M208" s="125" t="s">
        <v>41</v>
      </c>
      <c r="N208" s="125" t="s">
        <v>41</v>
      </c>
      <c r="O208" s="125" t="s">
        <v>41</v>
      </c>
      <c r="P208" s="125" t="s">
        <v>41</v>
      </c>
      <c r="Q208" s="56">
        <v>0.71846319078305021</v>
      </c>
      <c r="R208" s="125">
        <v>0.71846319078305021</v>
      </c>
      <c r="S208" s="97" t="s">
        <v>65</v>
      </c>
      <c r="Y208" s="99">
        <v>0</v>
      </c>
      <c r="Z208" s="99">
        <v>0</v>
      </c>
      <c r="AA208" s="99">
        <v>0</v>
      </c>
      <c r="AB208" s="99">
        <v>0</v>
      </c>
      <c r="AG208" s="99">
        <v>14717</v>
      </c>
      <c r="AH208" s="99">
        <v>14717</v>
      </c>
      <c r="AI208" s="99">
        <v>5767</v>
      </c>
      <c r="AJ208" s="99">
        <v>5767</v>
      </c>
    </row>
    <row r="209" spans="2:36" x14ac:dyDescent="0.15">
      <c r="B209" s="127" t="s">
        <v>598</v>
      </c>
      <c r="C209" s="127" t="s">
        <v>871</v>
      </c>
      <c r="D209" s="128" t="s">
        <v>599</v>
      </c>
      <c r="E209" s="119">
        <v>0</v>
      </c>
      <c r="F209" s="119">
        <v>0</v>
      </c>
      <c r="G209" s="119">
        <v>0</v>
      </c>
      <c r="H209" s="119">
        <v>0</v>
      </c>
      <c r="I209" s="119">
        <v>0</v>
      </c>
      <c r="J209" s="119">
        <v>0</v>
      </c>
      <c r="K209" s="119">
        <v>0</v>
      </c>
      <c r="L209" s="119">
        <v>0</v>
      </c>
      <c r="M209" s="129" t="s">
        <v>41</v>
      </c>
      <c r="N209" s="129" t="s">
        <v>41</v>
      </c>
      <c r="O209" s="129" t="s">
        <v>41</v>
      </c>
      <c r="P209" s="129" t="s">
        <v>41</v>
      </c>
      <c r="Q209" s="62">
        <v>0.65604767088752647</v>
      </c>
      <c r="R209" s="129">
        <v>0.65604767088752647</v>
      </c>
      <c r="S209" s="97" t="s">
        <v>63</v>
      </c>
      <c r="Y209" s="99">
        <v>0</v>
      </c>
      <c r="Z209" s="99">
        <v>0</v>
      </c>
      <c r="AA209" s="99">
        <v>0</v>
      </c>
      <c r="AB209" s="99">
        <v>0</v>
      </c>
      <c r="AG209" s="99">
        <v>11450</v>
      </c>
      <c r="AH209" s="99">
        <v>11450</v>
      </c>
      <c r="AI209" s="99">
        <v>6003</v>
      </c>
      <c r="AJ209" s="99">
        <v>6003</v>
      </c>
    </row>
    <row r="210" spans="2:36" x14ac:dyDescent="0.15">
      <c r="C210" s="75" t="s">
        <v>751</v>
      </c>
      <c r="D210" s="75" t="s">
        <v>751</v>
      </c>
    </row>
    <row r="211" spans="2:36" x14ac:dyDescent="0.15">
      <c r="C211" s="75" t="s">
        <v>751</v>
      </c>
      <c r="D211" s="75" t="s">
        <v>751</v>
      </c>
    </row>
    <row r="212" spans="2:36" x14ac:dyDescent="0.15">
      <c r="C212" s="75" t="s">
        <v>751</v>
      </c>
      <c r="D212" s="75" t="s">
        <v>751</v>
      </c>
    </row>
    <row r="213" spans="2:36" x14ac:dyDescent="0.15">
      <c r="C213" s="75" t="s">
        <v>751</v>
      </c>
      <c r="D213" s="75" t="s">
        <v>751</v>
      </c>
    </row>
    <row r="214" spans="2:36" x14ac:dyDescent="0.15">
      <c r="C214" s="75" t="s">
        <v>751</v>
      </c>
      <c r="D214" s="75" t="s">
        <v>751</v>
      </c>
    </row>
    <row r="215" spans="2:36" x14ac:dyDescent="0.15">
      <c r="C215" s="75" t="s">
        <v>751</v>
      </c>
      <c r="D215" s="75" t="s">
        <v>751</v>
      </c>
    </row>
    <row r="216" spans="2:36" x14ac:dyDescent="0.15">
      <c r="C216" s="75" t="s">
        <v>751</v>
      </c>
      <c r="D216" s="75" t="s">
        <v>751</v>
      </c>
    </row>
    <row r="217" spans="2:36" x14ac:dyDescent="0.15">
      <c r="C217" s="75" t="s">
        <v>751</v>
      </c>
      <c r="D217" s="75" t="s">
        <v>751</v>
      </c>
    </row>
    <row r="218" spans="2:36" x14ac:dyDescent="0.15">
      <c r="C218" s="75" t="s">
        <v>751</v>
      </c>
      <c r="D218" s="75" t="s">
        <v>751</v>
      </c>
    </row>
    <row r="219" spans="2:36" x14ac:dyDescent="0.15">
      <c r="C219" s="75" t="s">
        <v>751</v>
      </c>
      <c r="D219" s="75" t="s">
        <v>751</v>
      </c>
    </row>
    <row r="220" spans="2:36" x14ac:dyDescent="0.15">
      <c r="C220" s="75" t="s">
        <v>751</v>
      </c>
      <c r="D220" s="75" t="s">
        <v>751</v>
      </c>
    </row>
    <row r="221" spans="2:36" x14ac:dyDescent="0.15">
      <c r="C221" s="75" t="s">
        <v>751</v>
      </c>
      <c r="D221" s="75" t="s">
        <v>751</v>
      </c>
    </row>
    <row r="222" spans="2:36" x14ac:dyDescent="0.15">
      <c r="C222" s="75" t="s">
        <v>751</v>
      </c>
      <c r="D222" s="75" t="s">
        <v>751</v>
      </c>
    </row>
    <row r="223" spans="2:36" x14ac:dyDescent="0.15">
      <c r="C223" s="75" t="s">
        <v>751</v>
      </c>
      <c r="D223" s="75" t="s">
        <v>751</v>
      </c>
    </row>
    <row r="224" spans="2:36" x14ac:dyDescent="0.15">
      <c r="C224" s="75" t="s">
        <v>751</v>
      </c>
      <c r="D224" s="75" t="s">
        <v>751</v>
      </c>
    </row>
    <row r="225" spans="3:4" x14ac:dyDescent="0.15">
      <c r="C225" s="75" t="s">
        <v>751</v>
      </c>
      <c r="D225" s="75" t="s">
        <v>751</v>
      </c>
    </row>
    <row r="226" spans="3:4" x14ac:dyDescent="0.15">
      <c r="C226" s="75" t="s">
        <v>751</v>
      </c>
      <c r="D226" s="75" t="s">
        <v>751</v>
      </c>
    </row>
    <row r="227" spans="3:4" x14ac:dyDescent="0.15">
      <c r="C227" s="75" t="s">
        <v>751</v>
      </c>
      <c r="D227" s="75" t="s">
        <v>751</v>
      </c>
    </row>
    <row r="228" spans="3:4" x14ac:dyDescent="0.15">
      <c r="C228" s="75" t="s">
        <v>751</v>
      </c>
      <c r="D228" s="75" t="s">
        <v>751</v>
      </c>
    </row>
    <row r="229" spans="3:4" x14ac:dyDescent="0.15">
      <c r="C229" s="75" t="s">
        <v>751</v>
      </c>
      <c r="D229" s="75" t="s">
        <v>751</v>
      </c>
    </row>
    <row r="230" spans="3:4" x14ac:dyDescent="0.15">
      <c r="C230" s="75" t="s">
        <v>751</v>
      </c>
      <c r="D230" s="75" t="s">
        <v>751</v>
      </c>
    </row>
  </sheetData>
  <mergeCells count="4">
    <mergeCell ref="E15:H15"/>
    <mergeCell ref="I15:L15"/>
    <mergeCell ref="M15:R15"/>
    <mergeCell ref="C4:D4"/>
  </mergeCells>
  <pageMargins left="0.74803149606299213" right="0.74803149606299213" top="0.98425196850393704" bottom="0.98425196850393704" header="0.51181102362204722" footer="0.51181102362204722"/>
  <pageSetup paperSize="9" scale="26" orientation="landscape"/>
  <headerFooter alignWithMargins="0"/>
  <rowBreaks count="1" manualBreakCount="1">
    <brk id="6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6BBB5-6674-8E4C-AC18-35B0BED4F171}">
  <sheetPr codeName="Sheet3"/>
  <dimension ref="B1:Z363"/>
  <sheetViews>
    <sheetView topLeftCell="D1" zoomScale="85" zoomScaleNormal="85" workbookViewId="0">
      <selection activeCell="D48" sqref="D48"/>
    </sheetView>
  </sheetViews>
  <sheetFormatPr baseColWidth="10" defaultColWidth="9.1640625" defaultRowHeight="13" x14ac:dyDescent="0.15"/>
  <cols>
    <col min="1" max="1" width="2" style="3" customWidth="1"/>
    <col min="2" max="2" width="13.1640625" style="3" customWidth="1"/>
    <col min="3" max="3" width="48.83203125" style="3" customWidth="1"/>
    <col min="4" max="4" width="69.5" style="3" customWidth="1"/>
    <col min="5" max="5" width="18.1640625" style="3" customWidth="1"/>
    <col min="6" max="6" width="18.5" style="3" customWidth="1"/>
    <col min="7" max="12" width="16.1640625" style="3" customWidth="1"/>
    <col min="13" max="18" width="17" style="3" customWidth="1"/>
    <col min="19" max="20" width="16.1640625" style="3" customWidth="1"/>
    <col min="21" max="21" width="19.83203125" style="3" customWidth="1"/>
    <col min="22" max="22" width="23.5" style="3" customWidth="1"/>
    <col min="23" max="16384" width="9.1640625" style="3"/>
  </cols>
  <sheetData>
    <row r="1" spans="2:21" s="4" customFormat="1" ht="9.75" customHeight="1" x14ac:dyDescent="0.2"/>
    <row r="2" spans="2:21" ht="19.5" customHeight="1" x14ac:dyDescent="0.2">
      <c r="B2" s="5" t="s">
        <v>0</v>
      </c>
      <c r="C2" s="107" t="s">
        <v>703</v>
      </c>
      <c r="D2" s="107"/>
      <c r="E2" s="13"/>
      <c r="F2" s="13"/>
      <c r="H2" s="7"/>
      <c r="I2" s="7"/>
      <c r="J2" s="7"/>
      <c r="K2" s="7"/>
      <c r="L2" s="7"/>
      <c r="M2" s="8"/>
    </row>
    <row r="3" spans="2:21" ht="14.75" customHeight="1" x14ac:dyDescent="0.2">
      <c r="B3" s="5"/>
      <c r="C3" s="107"/>
      <c r="D3" s="107"/>
      <c r="E3" s="13"/>
      <c r="F3" s="13"/>
      <c r="H3" s="7"/>
      <c r="I3" s="7"/>
      <c r="J3" s="7"/>
      <c r="K3" s="7"/>
      <c r="L3" s="7"/>
      <c r="M3" s="8"/>
    </row>
    <row r="4" spans="2:21" ht="90" customHeight="1" x14ac:dyDescent="0.15">
      <c r="B4" s="110" t="s">
        <v>2</v>
      </c>
      <c r="C4" s="190" t="s">
        <v>704</v>
      </c>
      <c r="D4" s="190"/>
      <c r="E4" s="15"/>
      <c r="F4" s="15"/>
      <c r="H4" s="7"/>
      <c r="I4" s="7"/>
      <c r="J4" s="7"/>
      <c r="K4" s="7"/>
      <c r="L4" s="7"/>
      <c r="M4" s="6"/>
    </row>
    <row r="5" spans="2:21" ht="12.75" customHeight="1" x14ac:dyDescent="0.15">
      <c r="B5" s="5"/>
      <c r="C5" s="15"/>
      <c r="D5" s="15"/>
      <c r="E5" s="15"/>
      <c r="F5" s="15"/>
      <c r="H5" s="7"/>
      <c r="I5" s="7"/>
      <c r="J5" s="7"/>
      <c r="K5" s="7"/>
      <c r="L5" s="7"/>
    </row>
    <row r="6" spans="2:21" ht="16" x14ac:dyDescent="0.2">
      <c r="B6" s="5" t="s">
        <v>4</v>
      </c>
      <c r="C6" s="16" t="s">
        <v>875</v>
      </c>
      <c r="D6" s="16"/>
      <c r="E6" s="16"/>
      <c r="F6" s="12"/>
      <c r="H6" s="7"/>
      <c r="I6" s="7"/>
      <c r="J6" s="7"/>
      <c r="K6" s="7"/>
      <c r="L6" s="7"/>
    </row>
    <row r="7" spans="2:21" ht="19.25" customHeight="1" x14ac:dyDescent="0.15">
      <c r="B7" s="5" t="s">
        <v>5</v>
      </c>
      <c r="C7" s="17" t="s">
        <v>6</v>
      </c>
      <c r="D7" s="17"/>
      <c r="E7" s="17"/>
      <c r="H7" s="7"/>
      <c r="I7" s="7"/>
      <c r="J7" s="7"/>
      <c r="K7" s="7"/>
      <c r="L7" s="7"/>
    </row>
    <row r="8" spans="2:21" ht="12.75" customHeight="1" x14ac:dyDescent="0.15">
      <c r="B8" s="5" t="s">
        <v>7</v>
      </c>
      <c r="C8" s="3" t="s">
        <v>8</v>
      </c>
      <c r="H8" s="7"/>
      <c r="I8" s="7"/>
      <c r="J8" s="7"/>
      <c r="K8" s="7"/>
      <c r="L8" s="7"/>
    </row>
    <row r="9" spans="2:21" ht="12.75" customHeight="1" x14ac:dyDescent="0.15">
      <c r="B9" s="5" t="s">
        <v>9</v>
      </c>
      <c r="C9" s="3" t="s">
        <v>853</v>
      </c>
      <c r="H9" s="26"/>
      <c r="I9" s="26"/>
      <c r="J9" s="26"/>
      <c r="K9" s="26"/>
      <c r="L9" s="26"/>
    </row>
    <row r="10" spans="2:21" ht="12.75" customHeight="1" x14ac:dyDescent="0.15">
      <c r="B10" s="5" t="s">
        <v>10</v>
      </c>
      <c r="C10" s="18"/>
      <c r="D10" s="18"/>
      <c r="E10" s="18"/>
      <c r="H10" s="26"/>
      <c r="I10" s="26"/>
      <c r="J10" s="26"/>
      <c r="K10" s="26"/>
      <c r="L10" s="7"/>
    </row>
    <row r="11" spans="2:21" ht="12.75" customHeight="1" x14ac:dyDescent="0.15">
      <c r="B11" s="5" t="s">
        <v>11</v>
      </c>
      <c r="C11" s="3" t="s">
        <v>12</v>
      </c>
      <c r="H11" s="26"/>
      <c r="I11" s="26"/>
      <c r="J11" s="26"/>
      <c r="K11" s="26"/>
      <c r="L11" s="7"/>
    </row>
    <row r="12" spans="2:21" ht="12.75" customHeight="1" x14ac:dyDescent="0.15">
      <c r="B12" s="5" t="s">
        <v>13</v>
      </c>
      <c r="C12" s="3" t="s">
        <v>14</v>
      </c>
      <c r="H12" s="26"/>
      <c r="I12" s="26"/>
      <c r="J12" s="26"/>
      <c r="K12" s="26"/>
      <c r="L12" s="9"/>
    </row>
    <row r="13" spans="2:21" x14ac:dyDescent="0.15">
      <c r="B13" s="5"/>
    </row>
    <row r="14" spans="2:21" ht="16" x14ac:dyDescent="0.2">
      <c r="B14" s="14" t="s">
        <v>705</v>
      </c>
      <c r="E14" s="27"/>
      <c r="F14" s="27"/>
      <c r="G14" s="27"/>
      <c r="H14" s="27"/>
      <c r="I14" s="27"/>
      <c r="J14" s="27"/>
      <c r="K14" s="27"/>
      <c r="L14" s="27"/>
      <c r="M14" s="27"/>
      <c r="N14" s="27"/>
      <c r="O14" s="27"/>
      <c r="P14" s="27"/>
      <c r="Q14" s="27"/>
      <c r="R14" s="27"/>
      <c r="S14" s="27"/>
      <c r="T14" s="27"/>
    </row>
    <row r="15" spans="2:21" ht="30" customHeight="1" x14ac:dyDescent="0.2">
      <c r="B15" s="14"/>
      <c r="C15" s="14"/>
      <c r="D15" s="19"/>
      <c r="E15" s="184" t="s">
        <v>16</v>
      </c>
      <c r="F15" s="185"/>
      <c r="G15" s="185"/>
      <c r="H15" s="186"/>
      <c r="I15" s="187" t="s">
        <v>682</v>
      </c>
      <c r="J15" s="188"/>
      <c r="K15" s="188"/>
      <c r="L15" s="189"/>
      <c r="M15" s="187" t="s">
        <v>683</v>
      </c>
      <c r="N15" s="188"/>
      <c r="O15" s="188"/>
      <c r="P15" s="189"/>
      <c r="Q15" s="187" t="s">
        <v>706</v>
      </c>
      <c r="R15" s="189"/>
      <c r="S15" s="187" t="s">
        <v>707</v>
      </c>
      <c r="T15" s="188"/>
      <c r="U15" s="189"/>
    </row>
    <row r="16" spans="2:21" s="25" customFormat="1" ht="65.25" customHeight="1" x14ac:dyDescent="0.15">
      <c r="B16" s="23" t="s">
        <v>21</v>
      </c>
      <c r="C16" s="23" t="s">
        <v>684</v>
      </c>
      <c r="D16" s="23" t="s">
        <v>128</v>
      </c>
      <c r="E16" s="24" t="s">
        <v>23</v>
      </c>
      <c r="F16" s="24" t="s">
        <v>24</v>
      </c>
      <c r="G16" s="24" t="s">
        <v>25</v>
      </c>
      <c r="H16" s="24" t="s">
        <v>26</v>
      </c>
      <c r="I16" s="24" t="s">
        <v>23</v>
      </c>
      <c r="J16" s="24" t="s">
        <v>24</v>
      </c>
      <c r="K16" s="24" t="s">
        <v>25</v>
      </c>
      <c r="L16" s="24" t="s">
        <v>27</v>
      </c>
      <c r="M16" s="24" t="s">
        <v>23</v>
      </c>
      <c r="N16" s="24" t="s">
        <v>24</v>
      </c>
      <c r="O16" s="24" t="s">
        <v>25</v>
      </c>
      <c r="P16" s="24" t="s">
        <v>28</v>
      </c>
      <c r="Q16" s="24" t="s">
        <v>16</v>
      </c>
      <c r="R16" s="24" t="s">
        <v>708</v>
      </c>
      <c r="S16" s="43" t="s">
        <v>709</v>
      </c>
      <c r="T16" s="43" t="s">
        <v>710</v>
      </c>
      <c r="U16" s="43" t="s">
        <v>711</v>
      </c>
    </row>
    <row r="17" spans="2:26" x14ac:dyDescent="0.15">
      <c r="B17" s="1" t="s">
        <v>41</v>
      </c>
      <c r="C17" s="1" t="s">
        <v>41</v>
      </c>
      <c r="D17" s="44" t="s">
        <v>685</v>
      </c>
      <c r="E17" s="2">
        <v>1503149</v>
      </c>
      <c r="F17" s="2">
        <v>55513</v>
      </c>
      <c r="G17" s="2">
        <v>886081</v>
      </c>
      <c r="H17" s="2">
        <v>2444743</v>
      </c>
      <c r="I17" s="2">
        <v>910567</v>
      </c>
      <c r="J17" s="2">
        <v>52395</v>
      </c>
      <c r="K17" s="2">
        <v>855030</v>
      </c>
      <c r="L17" s="2">
        <v>1817992</v>
      </c>
      <c r="M17" s="2">
        <v>592582</v>
      </c>
      <c r="N17" s="2">
        <v>3118</v>
      </c>
      <c r="O17" s="2">
        <v>31051</v>
      </c>
      <c r="P17" s="2">
        <v>626751</v>
      </c>
      <c r="Q17" s="45" t="s">
        <v>41</v>
      </c>
      <c r="R17" s="45" t="s">
        <v>41</v>
      </c>
      <c r="S17" s="31">
        <v>0.6057729473259138</v>
      </c>
      <c r="T17" s="31">
        <v>0.7436331753480836</v>
      </c>
      <c r="U17" s="52">
        <v>0.7436331753480836</v>
      </c>
    </row>
    <row r="18" spans="2:26" ht="6.75" customHeight="1" x14ac:dyDescent="0.15">
      <c r="C18" s="11"/>
      <c r="D18" s="11"/>
      <c r="E18" s="11"/>
      <c r="F18" s="11"/>
      <c r="G18" s="11"/>
      <c r="H18" s="11"/>
      <c r="I18" s="11"/>
      <c r="J18" s="11"/>
      <c r="K18" s="11"/>
      <c r="L18" s="11"/>
      <c r="M18" s="11"/>
      <c r="N18" s="11"/>
      <c r="O18" s="11"/>
      <c r="P18" s="28"/>
      <c r="Q18" s="28"/>
      <c r="R18" s="28"/>
      <c r="S18" s="54"/>
      <c r="T18" s="54"/>
      <c r="U18" s="54"/>
    </row>
    <row r="19" spans="2:26" x14ac:dyDescent="0.15">
      <c r="B19" s="29" t="s">
        <v>283</v>
      </c>
      <c r="C19" s="50" t="s">
        <v>874</v>
      </c>
      <c r="D19" s="50" t="s">
        <v>285</v>
      </c>
      <c r="E19" s="30">
        <v>18509</v>
      </c>
      <c r="F19" s="30">
        <v>0</v>
      </c>
      <c r="G19" s="30">
        <v>11002</v>
      </c>
      <c r="H19" s="30">
        <v>29511</v>
      </c>
      <c r="I19" s="30">
        <v>11566</v>
      </c>
      <c r="J19" s="30">
        <v>0</v>
      </c>
      <c r="K19" s="30">
        <v>11002</v>
      </c>
      <c r="L19" s="30">
        <v>22568</v>
      </c>
      <c r="M19" s="30">
        <v>6943</v>
      </c>
      <c r="N19" s="30">
        <v>0</v>
      </c>
      <c r="O19" s="30">
        <v>0</v>
      </c>
      <c r="P19" s="30">
        <v>6943</v>
      </c>
      <c r="Q19" s="30">
        <v>2335</v>
      </c>
      <c r="R19" s="30">
        <v>0</v>
      </c>
      <c r="S19" s="55">
        <v>0.62488519098816797</v>
      </c>
      <c r="T19" s="55">
        <v>0.74451722107742124</v>
      </c>
      <c r="U19" s="55">
        <v>0.76473179492392662</v>
      </c>
      <c r="V19" s="10"/>
      <c r="Z19" s="10"/>
    </row>
    <row r="20" spans="2:26" x14ac:dyDescent="0.15">
      <c r="B20" s="32" t="s">
        <v>302</v>
      </c>
      <c r="C20" s="51" t="s">
        <v>874</v>
      </c>
      <c r="D20" s="51" t="s">
        <v>303</v>
      </c>
      <c r="E20" s="33">
        <v>12085</v>
      </c>
      <c r="F20" s="33">
        <v>0</v>
      </c>
      <c r="G20" s="33">
        <v>5862</v>
      </c>
      <c r="H20" s="33">
        <v>17947</v>
      </c>
      <c r="I20" s="33">
        <v>6528</v>
      </c>
      <c r="J20" s="33">
        <v>0</v>
      </c>
      <c r="K20" s="33">
        <v>5762</v>
      </c>
      <c r="L20" s="33">
        <v>12290</v>
      </c>
      <c r="M20" s="33">
        <v>5557</v>
      </c>
      <c r="N20" s="33">
        <v>0</v>
      </c>
      <c r="O20" s="33">
        <v>100</v>
      </c>
      <c r="P20" s="33">
        <v>5657</v>
      </c>
      <c r="Q20" s="33">
        <v>0</v>
      </c>
      <c r="R20" s="33">
        <v>0</v>
      </c>
      <c r="S20" s="56">
        <v>0.54017376913529169</v>
      </c>
      <c r="T20" s="56">
        <v>0.68479411600824647</v>
      </c>
      <c r="U20" s="56">
        <v>0.68479411600824647</v>
      </c>
      <c r="V20" s="10"/>
      <c r="Z20" s="10"/>
    </row>
    <row r="21" spans="2:26" x14ac:dyDescent="0.15">
      <c r="B21" s="32" t="s">
        <v>320</v>
      </c>
      <c r="C21" s="51" t="s">
        <v>874</v>
      </c>
      <c r="D21" s="51" t="s">
        <v>712</v>
      </c>
      <c r="E21" s="33">
        <v>9588</v>
      </c>
      <c r="F21" s="33">
        <v>0</v>
      </c>
      <c r="G21" s="33">
        <v>11557</v>
      </c>
      <c r="H21" s="33">
        <v>21145</v>
      </c>
      <c r="I21" s="33">
        <v>4512</v>
      </c>
      <c r="J21" s="33">
        <v>0</v>
      </c>
      <c r="K21" s="33">
        <v>11315</v>
      </c>
      <c r="L21" s="33">
        <v>15827</v>
      </c>
      <c r="M21" s="33">
        <v>5076</v>
      </c>
      <c r="N21" s="33">
        <v>0</v>
      </c>
      <c r="O21" s="33">
        <v>242</v>
      </c>
      <c r="P21" s="33">
        <v>5318</v>
      </c>
      <c r="Q21" s="33">
        <v>2328</v>
      </c>
      <c r="R21" s="33">
        <v>120</v>
      </c>
      <c r="S21" s="56">
        <v>0.47058823529411764</v>
      </c>
      <c r="T21" s="56">
        <v>0.7237604293989478</v>
      </c>
      <c r="U21" s="56">
        <v>0.74849846299361555</v>
      </c>
      <c r="V21" s="10"/>
      <c r="Z21" s="10"/>
    </row>
    <row r="22" spans="2:26" x14ac:dyDescent="0.15">
      <c r="B22" s="32" t="s">
        <v>396</v>
      </c>
      <c r="C22" s="51" t="s">
        <v>874</v>
      </c>
      <c r="D22" s="51" t="s">
        <v>397</v>
      </c>
      <c r="E22" s="33">
        <v>12846</v>
      </c>
      <c r="F22" s="33">
        <v>0</v>
      </c>
      <c r="G22" s="33">
        <v>12888</v>
      </c>
      <c r="H22" s="33">
        <v>25734</v>
      </c>
      <c r="I22" s="33">
        <v>7552</v>
      </c>
      <c r="J22" s="33">
        <v>0</v>
      </c>
      <c r="K22" s="33">
        <v>11936</v>
      </c>
      <c r="L22" s="33">
        <v>19488</v>
      </c>
      <c r="M22" s="33">
        <v>5294</v>
      </c>
      <c r="N22" s="33">
        <v>0</v>
      </c>
      <c r="O22" s="33">
        <v>952</v>
      </c>
      <c r="P22" s="33">
        <v>6246</v>
      </c>
      <c r="Q22" s="33">
        <v>0</v>
      </c>
      <c r="R22" s="33">
        <v>0</v>
      </c>
      <c r="S22" s="56">
        <v>0.58788728008718671</v>
      </c>
      <c r="T22" s="56">
        <v>0.75728608067148517</v>
      </c>
      <c r="U22" s="56">
        <v>0.75728608067148517</v>
      </c>
      <c r="V22" s="10"/>
      <c r="Z22" s="10"/>
    </row>
    <row r="23" spans="2:26" x14ac:dyDescent="0.15">
      <c r="B23" s="32" t="s">
        <v>368</v>
      </c>
      <c r="C23" s="51" t="s">
        <v>874</v>
      </c>
      <c r="D23" s="51" t="s">
        <v>369</v>
      </c>
      <c r="E23" s="33">
        <v>7874</v>
      </c>
      <c r="F23" s="33">
        <v>0</v>
      </c>
      <c r="G23" s="33">
        <v>1582</v>
      </c>
      <c r="H23" s="33">
        <v>9456</v>
      </c>
      <c r="I23" s="33">
        <v>4655</v>
      </c>
      <c r="J23" s="33">
        <v>0</v>
      </c>
      <c r="K23" s="33">
        <v>1582</v>
      </c>
      <c r="L23" s="33">
        <v>6237</v>
      </c>
      <c r="M23" s="33">
        <v>3219</v>
      </c>
      <c r="N23" s="33">
        <v>0</v>
      </c>
      <c r="O23" s="33">
        <v>0</v>
      </c>
      <c r="P23" s="33">
        <v>3219</v>
      </c>
      <c r="Q23" s="33">
        <v>0</v>
      </c>
      <c r="R23" s="33">
        <v>0</v>
      </c>
      <c r="S23" s="56">
        <v>0.59118618237236475</v>
      </c>
      <c r="T23" s="56">
        <v>0.65958121827411165</v>
      </c>
      <c r="U23" s="56">
        <v>0.65958121827411165</v>
      </c>
      <c r="V23" s="10"/>
      <c r="Z23" s="10"/>
    </row>
    <row r="24" spans="2:26" x14ac:dyDescent="0.15">
      <c r="B24" s="32" t="s">
        <v>364</v>
      </c>
      <c r="C24" s="51" t="s">
        <v>874</v>
      </c>
      <c r="D24" s="51" t="s">
        <v>365</v>
      </c>
      <c r="E24" s="33">
        <v>28628</v>
      </c>
      <c r="F24" s="33">
        <v>0</v>
      </c>
      <c r="G24" s="33">
        <v>10141</v>
      </c>
      <c r="H24" s="33">
        <v>38769</v>
      </c>
      <c r="I24" s="33">
        <v>17700</v>
      </c>
      <c r="J24" s="33">
        <v>0</v>
      </c>
      <c r="K24" s="33">
        <v>9752</v>
      </c>
      <c r="L24" s="33">
        <v>27452</v>
      </c>
      <c r="M24" s="33">
        <v>10928</v>
      </c>
      <c r="N24" s="33">
        <v>0</v>
      </c>
      <c r="O24" s="33">
        <v>389</v>
      </c>
      <c r="P24" s="33">
        <v>11317</v>
      </c>
      <c r="Q24" s="33">
        <v>1626</v>
      </c>
      <c r="R24" s="33">
        <v>28</v>
      </c>
      <c r="S24" s="56">
        <v>0.61827581388850072</v>
      </c>
      <c r="T24" s="56">
        <v>0.69606655359017855</v>
      </c>
      <c r="U24" s="56">
        <v>0.70809151641775647</v>
      </c>
      <c r="V24" s="10"/>
      <c r="Z24" s="10"/>
    </row>
    <row r="25" spans="2:26" x14ac:dyDescent="0.15">
      <c r="B25" s="32" t="s">
        <v>288</v>
      </c>
      <c r="C25" s="51" t="s">
        <v>874</v>
      </c>
      <c r="D25" s="51" t="s">
        <v>289</v>
      </c>
      <c r="E25" s="33">
        <v>9420</v>
      </c>
      <c r="F25" s="33">
        <v>0</v>
      </c>
      <c r="G25" s="33">
        <v>6789</v>
      </c>
      <c r="H25" s="33">
        <v>16209</v>
      </c>
      <c r="I25" s="33">
        <v>4770</v>
      </c>
      <c r="J25" s="33">
        <v>0</v>
      </c>
      <c r="K25" s="33">
        <v>6611</v>
      </c>
      <c r="L25" s="33">
        <v>11381</v>
      </c>
      <c r="M25" s="33">
        <v>4650</v>
      </c>
      <c r="N25" s="33">
        <v>0</v>
      </c>
      <c r="O25" s="33">
        <v>178</v>
      </c>
      <c r="P25" s="33">
        <v>4828</v>
      </c>
      <c r="Q25" s="33">
        <v>0</v>
      </c>
      <c r="R25" s="33">
        <v>0</v>
      </c>
      <c r="S25" s="56">
        <v>0.50636942675159236</v>
      </c>
      <c r="T25" s="56">
        <v>0.70214078598309582</v>
      </c>
      <c r="U25" s="56">
        <v>0.70214078598309582</v>
      </c>
      <c r="V25" s="10"/>
      <c r="Z25" s="10"/>
    </row>
    <row r="26" spans="2:26" x14ac:dyDescent="0.15">
      <c r="B26" s="32" t="s">
        <v>370</v>
      </c>
      <c r="C26" s="51" t="s">
        <v>874</v>
      </c>
      <c r="D26" s="51" t="s">
        <v>713</v>
      </c>
      <c r="E26" s="33">
        <v>13687</v>
      </c>
      <c r="F26" s="33">
        <v>0</v>
      </c>
      <c r="G26" s="33">
        <v>8042</v>
      </c>
      <c r="H26" s="33">
        <v>21729</v>
      </c>
      <c r="I26" s="33">
        <v>9311</v>
      </c>
      <c r="J26" s="33">
        <v>0</v>
      </c>
      <c r="K26" s="33">
        <v>8035</v>
      </c>
      <c r="L26" s="33">
        <v>17346</v>
      </c>
      <c r="M26" s="33">
        <v>4376</v>
      </c>
      <c r="N26" s="33">
        <v>0</v>
      </c>
      <c r="O26" s="33">
        <v>7</v>
      </c>
      <c r="P26" s="33">
        <v>4383</v>
      </c>
      <c r="Q26" s="33">
        <v>0</v>
      </c>
      <c r="R26" s="33">
        <v>0</v>
      </c>
      <c r="S26" s="56">
        <v>0.68028055819390665</v>
      </c>
      <c r="T26" s="56">
        <v>0.7982880022090294</v>
      </c>
      <c r="U26" s="56">
        <v>0.7982880022090294</v>
      </c>
      <c r="V26" s="10"/>
      <c r="Z26" s="10"/>
    </row>
    <row r="27" spans="2:26" x14ac:dyDescent="0.15">
      <c r="B27" s="32" t="s">
        <v>306</v>
      </c>
      <c r="C27" s="51" t="s">
        <v>874</v>
      </c>
      <c r="D27" s="51" t="s">
        <v>714</v>
      </c>
      <c r="E27" s="33">
        <v>17985</v>
      </c>
      <c r="F27" s="33">
        <v>0</v>
      </c>
      <c r="G27" s="33">
        <v>3887</v>
      </c>
      <c r="H27" s="33">
        <v>21872</v>
      </c>
      <c r="I27" s="33">
        <v>10986</v>
      </c>
      <c r="J27" s="33">
        <v>0</v>
      </c>
      <c r="K27" s="33">
        <v>3617</v>
      </c>
      <c r="L27" s="33">
        <v>14603</v>
      </c>
      <c r="M27" s="33">
        <v>6999</v>
      </c>
      <c r="N27" s="33">
        <v>0</v>
      </c>
      <c r="O27" s="33">
        <v>270</v>
      </c>
      <c r="P27" s="33">
        <v>7269</v>
      </c>
      <c r="Q27" s="33">
        <v>0</v>
      </c>
      <c r="R27" s="33">
        <v>0</v>
      </c>
      <c r="S27" s="56">
        <v>0.61084236864053376</v>
      </c>
      <c r="T27" s="56">
        <v>0.66765727871250913</v>
      </c>
      <c r="U27" s="56">
        <v>0.66765727871250913</v>
      </c>
      <c r="V27" s="10"/>
      <c r="Z27" s="10"/>
    </row>
    <row r="28" spans="2:26" x14ac:dyDescent="0.15">
      <c r="B28" s="32" t="s">
        <v>324</v>
      </c>
      <c r="C28" s="51" t="s">
        <v>874</v>
      </c>
      <c r="D28" s="51" t="s">
        <v>325</v>
      </c>
      <c r="E28" s="33">
        <v>9234</v>
      </c>
      <c r="F28" s="33">
        <v>0</v>
      </c>
      <c r="G28" s="33">
        <v>3760</v>
      </c>
      <c r="H28" s="33">
        <v>12994</v>
      </c>
      <c r="I28" s="33">
        <v>6590</v>
      </c>
      <c r="J28" s="33">
        <v>0</v>
      </c>
      <c r="K28" s="33">
        <v>3694</v>
      </c>
      <c r="L28" s="33">
        <v>10284</v>
      </c>
      <c r="M28" s="33">
        <v>2644</v>
      </c>
      <c r="N28" s="33">
        <v>0</v>
      </c>
      <c r="O28" s="33">
        <v>66</v>
      </c>
      <c r="P28" s="33">
        <v>2710</v>
      </c>
      <c r="Q28" s="33">
        <v>1195</v>
      </c>
      <c r="R28" s="33">
        <v>66</v>
      </c>
      <c r="S28" s="56">
        <v>0.71366688325752659</v>
      </c>
      <c r="T28" s="56">
        <v>0.77591321298415117</v>
      </c>
      <c r="U28" s="56">
        <v>0.7914422040941973</v>
      </c>
      <c r="V28" s="10"/>
      <c r="Z28" s="10"/>
    </row>
    <row r="29" spans="2:26" x14ac:dyDescent="0.15">
      <c r="B29" s="32" t="s">
        <v>373</v>
      </c>
      <c r="C29" s="51" t="s">
        <v>874</v>
      </c>
      <c r="D29" s="51" t="s">
        <v>715</v>
      </c>
      <c r="E29" s="33">
        <v>6636</v>
      </c>
      <c r="F29" s="33">
        <v>0</v>
      </c>
      <c r="G29" s="33">
        <v>1297</v>
      </c>
      <c r="H29" s="33">
        <v>7933</v>
      </c>
      <c r="I29" s="33">
        <v>3844</v>
      </c>
      <c r="J29" s="33">
        <v>0</v>
      </c>
      <c r="K29" s="33">
        <v>1297</v>
      </c>
      <c r="L29" s="33">
        <v>5141</v>
      </c>
      <c r="M29" s="33">
        <v>2792</v>
      </c>
      <c r="N29" s="33">
        <v>0</v>
      </c>
      <c r="O29" s="33">
        <v>0</v>
      </c>
      <c r="P29" s="33">
        <v>2792</v>
      </c>
      <c r="Q29" s="33">
        <v>0</v>
      </c>
      <c r="R29" s="33">
        <v>0</v>
      </c>
      <c r="S29" s="56">
        <v>0.57926461723930078</v>
      </c>
      <c r="T29" s="56">
        <v>0.64805243917811672</v>
      </c>
      <c r="U29" s="56">
        <v>0.64805243917811672</v>
      </c>
      <c r="V29" s="10"/>
      <c r="Z29" s="10"/>
    </row>
    <row r="30" spans="2:26" x14ac:dyDescent="0.15">
      <c r="B30" s="32" t="s">
        <v>326</v>
      </c>
      <c r="C30" s="51" t="s">
        <v>874</v>
      </c>
      <c r="D30" s="51" t="s">
        <v>327</v>
      </c>
      <c r="E30" s="33">
        <v>8453</v>
      </c>
      <c r="F30" s="33">
        <v>0</v>
      </c>
      <c r="G30" s="33">
        <v>9787</v>
      </c>
      <c r="H30" s="33">
        <v>18240</v>
      </c>
      <c r="I30" s="33">
        <v>6176</v>
      </c>
      <c r="J30" s="33">
        <v>0</v>
      </c>
      <c r="K30" s="33">
        <v>9733</v>
      </c>
      <c r="L30" s="33">
        <v>15909</v>
      </c>
      <c r="M30" s="33">
        <v>2277</v>
      </c>
      <c r="N30" s="33">
        <v>0</v>
      </c>
      <c r="O30" s="33">
        <v>54</v>
      </c>
      <c r="P30" s="33">
        <v>2331</v>
      </c>
      <c r="Q30" s="33">
        <v>0</v>
      </c>
      <c r="R30" s="33">
        <v>0</v>
      </c>
      <c r="S30" s="56">
        <v>0.73062817934461133</v>
      </c>
      <c r="T30" s="56">
        <v>0.87220394736842111</v>
      </c>
      <c r="U30" s="56">
        <v>0.87220394736842111</v>
      </c>
      <c r="V30" s="10"/>
      <c r="Z30" s="10"/>
    </row>
    <row r="31" spans="2:26" x14ac:dyDescent="0.15">
      <c r="B31" s="32" t="s">
        <v>402</v>
      </c>
      <c r="C31" s="51" t="s">
        <v>874</v>
      </c>
      <c r="D31" s="51" t="s">
        <v>403</v>
      </c>
      <c r="E31" s="33">
        <v>8324</v>
      </c>
      <c r="F31" s="33">
        <v>0</v>
      </c>
      <c r="G31" s="33">
        <v>940</v>
      </c>
      <c r="H31" s="33">
        <v>9264</v>
      </c>
      <c r="I31" s="33">
        <v>6633</v>
      </c>
      <c r="J31" s="33">
        <v>0</v>
      </c>
      <c r="K31" s="33">
        <v>940</v>
      </c>
      <c r="L31" s="33">
        <v>7573</v>
      </c>
      <c r="M31" s="33">
        <v>1691</v>
      </c>
      <c r="N31" s="33">
        <v>0</v>
      </c>
      <c r="O31" s="33">
        <v>0</v>
      </c>
      <c r="P31" s="33">
        <v>1691</v>
      </c>
      <c r="Q31" s="33">
        <v>0</v>
      </c>
      <c r="R31" s="33">
        <v>0</v>
      </c>
      <c r="S31" s="56">
        <v>0.79685247477174437</v>
      </c>
      <c r="T31" s="56">
        <v>0.81746545768566492</v>
      </c>
      <c r="U31" s="56">
        <v>0.81746545768566492</v>
      </c>
      <c r="V31" s="10"/>
      <c r="Z31" s="10"/>
    </row>
    <row r="32" spans="2:26" x14ac:dyDescent="0.15">
      <c r="B32" s="32" t="s">
        <v>130</v>
      </c>
      <c r="C32" s="51" t="s">
        <v>760</v>
      </c>
      <c r="D32" s="51" t="s">
        <v>716</v>
      </c>
      <c r="E32" s="33">
        <v>14321</v>
      </c>
      <c r="F32" s="33">
        <v>2471</v>
      </c>
      <c r="G32" s="33">
        <v>21653</v>
      </c>
      <c r="H32" s="33">
        <v>38445</v>
      </c>
      <c r="I32" s="33">
        <v>9013</v>
      </c>
      <c r="J32" s="33">
        <v>2212</v>
      </c>
      <c r="K32" s="33">
        <v>21156</v>
      </c>
      <c r="L32" s="33">
        <v>32381</v>
      </c>
      <c r="M32" s="33">
        <v>5308</v>
      </c>
      <c r="N32" s="33">
        <v>259</v>
      </c>
      <c r="O32" s="33">
        <v>497</v>
      </c>
      <c r="P32" s="33">
        <v>6064</v>
      </c>
      <c r="Q32" s="33">
        <v>5635</v>
      </c>
      <c r="R32" s="33">
        <v>57</v>
      </c>
      <c r="S32" s="56">
        <v>0.6293554919349208</v>
      </c>
      <c r="T32" s="56">
        <v>0.81691557451996344</v>
      </c>
      <c r="U32" s="56">
        <v>0.84226817531538567</v>
      </c>
      <c r="V32" s="10"/>
      <c r="Z32" s="10"/>
    </row>
    <row r="33" spans="2:26" x14ac:dyDescent="0.15">
      <c r="B33" s="32" t="s">
        <v>134</v>
      </c>
      <c r="C33" s="51" t="s">
        <v>760</v>
      </c>
      <c r="D33" s="51" t="s">
        <v>135</v>
      </c>
      <c r="E33" s="33">
        <v>27253</v>
      </c>
      <c r="F33" s="33">
        <v>895</v>
      </c>
      <c r="G33" s="33">
        <v>18702</v>
      </c>
      <c r="H33" s="33">
        <v>46850</v>
      </c>
      <c r="I33" s="33">
        <v>16611</v>
      </c>
      <c r="J33" s="33">
        <v>894</v>
      </c>
      <c r="K33" s="33">
        <v>17167</v>
      </c>
      <c r="L33" s="33">
        <v>34672</v>
      </c>
      <c r="M33" s="33">
        <v>10642</v>
      </c>
      <c r="N33" s="33">
        <v>1</v>
      </c>
      <c r="O33" s="33">
        <v>1535</v>
      </c>
      <c r="P33" s="33">
        <v>12178</v>
      </c>
      <c r="Q33" s="33">
        <v>0</v>
      </c>
      <c r="R33" s="33">
        <v>0</v>
      </c>
      <c r="S33" s="56">
        <v>0.60951087953619787</v>
      </c>
      <c r="T33" s="56">
        <v>0.74006403415154753</v>
      </c>
      <c r="U33" s="56">
        <v>0.74006403415154753</v>
      </c>
      <c r="V33" s="10"/>
      <c r="Z33" s="10"/>
    </row>
    <row r="34" spans="2:26" x14ac:dyDescent="0.15">
      <c r="B34" s="32" t="s">
        <v>207</v>
      </c>
      <c r="C34" s="51" t="s">
        <v>760</v>
      </c>
      <c r="D34" s="51" t="s">
        <v>717</v>
      </c>
      <c r="E34" s="33">
        <v>21929</v>
      </c>
      <c r="F34" s="33">
        <v>0</v>
      </c>
      <c r="G34" s="33">
        <v>6840</v>
      </c>
      <c r="H34" s="33">
        <v>28769</v>
      </c>
      <c r="I34" s="33">
        <v>15910</v>
      </c>
      <c r="J34" s="33">
        <v>0</v>
      </c>
      <c r="K34" s="33">
        <v>6520</v>
      </c>
      <c r="L34" s="33">
        <v>22430</v>
      </c>
      <c r="M34" s="33">
        <v>6019</v>
      </c>
      <c r="N34" s="33">
        <v>0</v>
      </c>
      <c r="O34" s="33">
        <v>320</v>
      </c>
      <c r="P34" s="33">
        <v>6339</v>
      </c>
      <c r="Q34" s="33">
        <v>0</v>
      </c>
      <c r="R34" s="33">
        <v>0</v>
      </c>
      <c r="S34" s="56">
        <v>0.72552327967531582</v>
      </c>
      <c r="T34" s="56">
        <v>0.77965866036358578</v>
      </c>
      <c r="U34" s="56">
        <v>0.77965866036358578</v>
      </c>
      <c r="V34" s="10"/>
      <c r="Z34" s="10"/>
    </row>
    <row r="35" spans="2:26" x14ac:dyDescent="0.15">
      <c r="B35" s="32" t="s">
        <v>250</v>
      </c>
      <c r="C35" s="51" t="s">
        <v>760</v>
      </c>
      <c r="D35" s="51" t="s">
        <v>251</v>
      </c>
      <c r="E35" s="33">
        <v>13804</v>
      </c>
      <c r="F35" s="33">
        <v>0</v>
      </c>
      <c r="G35" s="33">
        <v>5591</v>
      </c>
      <c r="H35" s="33">
        <v>19395</v>
      </c>
      <c r="I35" s="33">
        <v>8710</v>
      </c>
      <c r="J35" s="33">
        <v>0</v>
      </c>
      <c r="K35" s="33">
        <v>5587.5</v>
      </c>
      <c r="L35" s="33">
        <v>14297.5</v>
      </c>
      <c r="M35" s="33">
        <v>5094</v>
      </c>
      <c r="N35" s="33">
        <v>0</v>
      </c>
      <c r="O35" s="33">
        <v>3.5</v>
      </c>
      <c r="P35" s="33">
        <v>5097.5</v>
      </c>
      <c r="Q35" s="33">
        <v>934</v>
      </c>
      <c r="R35" s="33">
        <v>3.5</v>
      </c>
      <c r="S35" s="56">
        <v>0.63097652854245145</v>
      </c>
      <c r="T35" s="56">
        <v>0.72406695195276527</v>
      </c>
      <c r="U35" s="56">
        <v>0.73717452951791695</v>
      </c>
      <c r="V35" s="10"/>
      <c r="Z35" s="10"/>
    </row>
    <row r="36" spans="2:26" x14ac:dyDescent="0.15">
      <c r="B36" s="32" t="s">
        <v>258</v>
      </c>
      <c r="C36" s="51" t="s">
        <v>760</v>
      </c>
      <c r="D36" s="51" t="s">
        <v>718</v>
      </c>
      <c r="E36" s="33">
        <v>11638</v>
      </c>
      <c r="F36" s="33">
        <v>0</v>
      </c>
      <c r="G36" s="33">
        <v>2921</v>
      </c>
      <c r="H36" s="33">
        <v>14559</v>
      </c>
      <c r="I36" s="33">
        <v>7829</v>
      </c>
      <c r="J36" s="33">
        <v>0</v>
      </c>
      <c r="K36" s="33">
        <v>2485</v>
      </c>
      <c r="L36" s="33">
        <v>10314</v>
      </c>
      <c r="M36" s="33">
        <v>3809</v>
      </c>
      <c r="N36" s="33">
        <v>0</v>
      </c>
      <c r="O36" s="33">
        <v>436</v>
      </c>
      <c r="P36" s="33">
        <v>4245</v>
      </c>
      <c r="Q36" s="33">
        <v>0</v>
      </c>
      <c r="R36" s="33">
        <v>0</v>
      </c>
      <c r="S36" s="56">
        <v>0.67271008764392504</v>
      </c>
      <c r="T36" s="56">
        <v>0.70842777663301049</v>
      </c>
      <c r="U36" s="56">
        <v>0.70842777663301049</v>
      </c>
      <c r="V36" s="10"/>
      <c r="Z36" s="10"/>
    </row>
    <row r="37" spans="2:26" x14ac:dyDescent="0.15">
      <c r="B37" s="32" t="s">
        <v>233</v>
      </c>
      <c r="C37" s="32" t="s">
        <v>760</v>
      </c>
      <c r="D37" s="32" t="s">
        <v>719</v>
      </c>
      <c r="E37" s="33">
        <v>11004</v>
      </c>
      <c r="F37" s="33">
        <v>0</v>
      </c>
      <c r="G37" s="33">
        <v>7279</v>
      </c>
      <c r="H37" s="33">
        <v>18283</v>
      </c>
      <c r="I37" s="33">
        <v>6731</v>
      </c>
      <c r="J37" s="33">
        <v>0</v>
      </c>
      <c r="K37" s="33">
        <v>7062</v>
      </c>
      <c r="L37" s="33">
        <v>13793</v>
      </c>
      <c r="M37" s="33">
        <v>4273</v>
      </c>
      <c r="N37" s="33">
        <v>0</v>
      </c>
      <c r="O37" s="33">
        <v>217</v>
      </c>
      <c r="P37" s="33">
        <v>4490</v>
      </c>
      <c r="Q37" s="33">
        <v>0</v>
      </c>
      <c r="R37" s="33">
        <v>0</v>
      </c>
      <c r="S37" s="56">
        <v>0.61168665939658307</v>
      </c>
      <c r="T37" s="56">
        <v>0.75441667122463496</v>
      </c>
      <c r="U37" s="56">
        <v>0.75441667122463496</v>
      </c>
      <c r="V37" s="10"/>
      <c r="Z37" s="10"/>
    </row>
    <row r="38" spans="2:26" x14ac:dyDescent="0.15">
      <c r="B38" s="32" t="s">
        <v>142</v>
      </c>
      <c r="C38" s="51" t="s">
        <v>760</v>
      </c>
      <c r="D38" s="51" t="s">
        <v>143</v>
      </c>
      <c r="E38" s="33">
        <v>11472</v>
      </c>
      <c r="F38" s="33">
        <v>0</v>
      </c>
      <c r="G38" s="33">
        <v>0</v>
      </c>
      <c r="H38" s="33">
        <v>11472</v>
      </c>
      <c r="I38" s="33">
        <v>9004</v>
      </c>
      <c r="J38" s="33">
        <v>0</v>
      </c>
      <c r="K38" s="33">
        <v>0</v>
      </c>
      <c r="L38" s="33">
        <v>9004</v>
      </c>
      <c r="M38" s="33">
        <v>2468</v>
      </c>
      <c r="N38" s="33">
        <v>0</v>
      </c>
      <c r="O38" s="33">
        <v>0</v>
      </c>
      <c r="P38" s="33">
        <v>2468</v>
      </c>
      <c r="Q38" s="33">
        <v>0</v>
      </c>
      <c r="R38" s="33">
        <v>0</v>
      </c>
      <c r="S38" s="56">
        <v>0.78486750348675038</v>
      </c>
      <c r="T38" s="56">
        <v>0.78486750348675038</v>
      </c>
      <c r="U38" s="56">
        <v>0.78486750348675038</v>
      </c>
      <c r="V38" s="10"/>
      <c r="Z38" s="10"/>
    </row>
    <row r="39" spans="2:26" x14ac:dyDescent="0.15">
      <c r="B39" s="32" t="s">
        <v>210</v>
      </c>
      <c r="C39" s="51" t="s">
        <v>760</v>
      </c>
      <c r="D39" s="51" t="s">
        <v>211</v>
      </c>
      <c r="E39" s="33">
        <v>12877</v>
      </c>
      <c r="F39" s="33">
        <v>4284</v>
      </c>
      <c r="G39" s="33">
        <v>15352.04</v>
      </c>
      <c r="H39" s="33">
        <v>32513.040000000001</v>
      </c>
      <c r="I39" s="33">
        <v>7374</v>
      </c>
      <c r="J39" s="33">
        <v>4003</v>
      </c>
      <c r="K39" s="33">
        <v>14784.2</v>
      </c>
      <c r="L39" s="33">
        <v>26161.200000000001</v>
      </c>
      <c r="M39" s="33">
        <v>5503</v>
      </c>
      <c r="N39" s="33">
        <v>281</v>
      </c>
      <c r="O39" s="33">
        <v>567.84</v>
      </c>
      <c r="P39" s="33">
        <v>6351.84</v>
      </c>
      <c r="Q39" s="33">
        <v>7450.0400000000009</v>
      </c>
      <c r="R39" s="33">
        <v>203.84000000000015</v>
      </c>
      <c r="S39" s="56">
        <v>0.5726489089073542</v>
      </c>
      <c r="T39" s="56">
        <v>0.75469816063519934</v>
      </c>
      <c r="U39" s="56">
        <v>0.80463715481542175</v>
      </c>
      <c r="V39" s="10"/>
      <c r="Z39" s="10"/>
    </row>
    <row r="40" spans="2:26" x14ac:dyDescent="0.15">
      <c r="B40" s="32" t="s">
        <v>236</v>
      </c>
      <c r="C40" s="51" t="s">
        <v>760</v>
      </c>
      <c r="D40" s="51" t="s">
        <v>720</v>
      </c>
      <c r="E40" s="33">
        <v>16246</v>
      </c>
      <c r="F40" s="33">
        <v>0</v>
      </c>
      <c r="G40" s="33">
        <v>12553.68</v>
      </c>
      <c r="H40" s="33">
        <v>28799.68</v>
      </c>
      <c r="I40" s="33">
        <v>8415</v>
      </c>
      <c r="J40" s="33">
        <v>0</v>
      </c>
      <c r="K40" s="33">
        <v>11935.36</v>
      </c>
      <c r="L40" s="33">
        <v>20350.36</v>
      </c>
      <c r="M40" s="33">
        <v>7831</v>
      </c>
      <c r="N40" s="33">
        <v>0</v>
      </c>
      <c r="O40" s="33">
        <v>618.32000000000005</v>
      </c>
      <c r="P40" s="33">
        <v>8449.32</v>
      </c>
      <c r="Q40" s="33">
        <v>1419.6800000000003</v>
      </c>
      <c r="R40" s="33">
        <v>5.319999999999709</v>
      </c>
      <c r="S40" s="56">
        <v>0.51797365505355164</v>
      </c>
      <c r="T40" s="56">
        <v>0.69159970781592406</v>
      </c>
      <c r="U40" s="56">
        <v>0.70661757352859478</v>
      </c>
      <c r="V40" s="10"/>
      <c r="Z40" s="10"/>
    </row>
    <row r="41" spans="2:26" x14ac:dyDescent="0.15">
      <c r="B41" s="32" t="s">
        <v>264</v>
      </c>
      <c r="C41" s="51" t="s">
        <v>760</v>
      </c>
      <c r="D41" s="51" t="s">
        <v>265</v>
      </c>
      <c r="E41" s="33">
        <v>7544</v>
      </c>
      <c r="F41" s="33">
        <v>0</v>
      </c>
      <c r="G41" s="33">
        <v>8597</v>
      </c>
      <c r="H41" s="33">
        <v>16141</v>
      </c>
      <c r="I41" s="33">
        <v>3132</v>
      </c>
      <c r="J41" s="33">
        <v>0</v>
      </c>
      <c r="K41" s="33">
        <v>8064</v>
      </c>
      <c r="L41" s="33">
        <v>11196</v>
      </c>
      <c r="M41" s="33">
        <v>4412</v>
      </c>
      <c r="N41" s="33">
        <v>0</v>
      </c>
      <c r="O41" s="33">
        <v>533</v>
      </c>
      <c r="P41" s="33">
        <v>4945</v>
      </c>
      <c r="Q41" s="33">
        <v>0</v>
      </c>
      <c r="R41" s="33">
        <v>0</v>
      </c>
      <c r="S41" s="56">
        <v>0.41516436903499471</v>
      </c>
      <c r="T41" s="56">
        <v>0.69363732110773801</v>
      </c>
      <c r="U41" s="56">
        <v>0.69363732110773801</v>
      </c>
      <c r="V41" s="10"/>
      <c r="Z41" s="10"/>
    </row>
    <row r="42" spans="2:26" x14ac:dyDescent="0.15">
      <c r="B42" s="32" t="s">
        <v>239</v>
      </c>
      <c r="C42" s="51" t="s">
        <v>760</v>
      </c>
      <c r="D42" s="51" t="s">
        <v>721</v>
      </c>
      <c r="E42" s="33">
        <v>16492</v>
      </c>
      <c r="F42" s="33">
        <v>0</v>
      </c>
      <c r="G42" s="33">
        <v>18613.32</v>
      </c>
      <c r="H42" s="33">
        <v>35105.32</v>
      </c>
      <c r="I42" s="33">
        <v>7265</v>
      </c>
      <c r="J42" s="33">
        <v>0</v>
      </c>
      <c r="K42" s="33">
        <v>18093.14</v>
      </c>
      <c r="L42" s="33">
        <v>25358.14</v>
      </c>
      <c r="M42" s="33">
        <v>9227</v>
      </c>
      <c r="N42" s="33">
        <v>0</v>
      </c>
      <c r="O42" s="33">
        <v>520.17999999999995</v>
      </c>
      <c r="P42" s="33">
        <v>9747.18</v>
      </c>
      <c r="Q42" s="33">
        <v>1382.3199999999997</v>
      </c>
      <c r="R42" s="33">
        <v>5.180000000000291</v>
      </c>
      <c r="S42" s="56">
        <v>0.44051661411593501</v>
      </c>
      <c r="T42" s="56">
        <v>0.71111704178157342</v>
      </c>
      <c r="U42" s="56">
        <v>0.72234464747793214</v>
      </c>
      <c r="V42" s="10"/>
      <c r="Z42" s="10"/>
    </row>
    <row r="43" spans="2:26" x14ac:dyDescent="0.15">
      <c r="B43" s="32" t="s">
        <v>214</v>
      </c>
      <c r="C43" s="51" t="s">
        <v>760</v>
      </c>
      <c r="D43" s="51" t="s">
        <v>215</v>
      </c>
      <c r="E43" s="33">
        <v>15095</v>
      </c>
      <c r="F43" s="33">
        <v>0</v>
      </c>
      <c r="G43" s="33">
        <v>16071</v>
      </c>
      <c r="H43" s="33">
        <v>31166</v>
      </c>
      <c r="I43" s="33">
        <v>7689</v>
      </c>
      <c r="J43" s="33">
        <v>0</v>
      </c>
      <c r="K43" s="33">
        <v>15816</v>
      </c>
      <c r="L43" s="33">
        <v>23505</v>
      </c>
      <c r="M43" s="33">
        <v>7406</v>
      </c>
      <c r="N43" s="33">
        <v>0</v>
      </c>
      <c r="O43" s="33">
        <v>255</v>
      </c>
      <c r="P43" s="33">
        <v>7661</v>
      </c>
      <c r="Q43" s="33">
        <v>0</v>
      </c>
      <c r="R43" s="33">
        <v>0</v>
      </c>
      <c r="S43" s="56">
        <v>0.50937396488903608</v>
      </c>
      <c r="T43" s="56">
        <v>0.75418725534236031</v>
      </c>
      <c r="U43" s="56">
        <v>0.75418725534236031</v>
      </c>
      <c r="V43" s="10"/>
      <c r="Z43" s="10"/>
    </row>
    <row r="44" spans="2:26" x14ac:dyDescent="0.15">
      <c r="B44" s="32" t="s">
        <v>174</v>
      </c>
      <c r="C44" s="51" t="s">
        <v>760</v>
      </c>
      <c r="D44" s="51" t="s">
        <v>175</v>
      </c>
      <c r="E44" s="33">
        <v>0</v>
      </c>
      <c r="F44" s="33">
        <v>6569</v>
      </c>
      <c r="G44" s="33">
        <v>0</v>
      </c>
      <c r="H44" s="33">
        <v>6569</v>
      </c>
      <c r="I44" s="33">
        <v>0</v>
      </c>
      <c r="J44" s="33">
        <v>6085</v>
      </c>
      <c r="K44" s="33">
        <v>0</v>
      </c>
      <c r="L44" s="33">
        <v>6085</v>
      </c>
      <c r="M44" s="33">
        <v>0</v>
      </c>
      <c r="N44" s="33">
        <v>484</v>
      </c>
      <c r="O44" s="33">
        <v>0</v>
      </c>
      <c r="P44" s="33">
        <v>484</v>
      </c>
      <c r="Q44" s="33">
        <v>0</v>
      </c>
      <c r="R44" s="33">
        <v>0</v>
      </c>
      <c r="S44" s="56" t="s">
        <v>41</v>
      </c>
      <c r="T44" s="56">
        <v>0.92632059674227429</v>
      </c>
      <c r="U44" s="56">
        <v>0.92632059674227429</v>
      </c>
      <c r="V44" s="10"/>
      <c r="Z44" s="10"/>
    </row>
    <row r="45" spans="2:26" x14ac:dyDescent="0.15">
      <c r="B45" s="32" t="s">
        <v>178</v>
      </c>
      <c r="C45" s="51" t="s">
        <v>760</v>
      </c>
      <c r="D45" s="51" t="s">
        <v>179</v>
      </c>
      <c r="E45" s="33">
        <v>27627</v>
      </c>
      <c r="F45" s="33">
        <v>625</v>
      </c>
      <c r="G45" s="33">
        <v>16844</v>
      </c>
      <c r="H45" s="33">
        <v>45096</v>
      </c>
      <c r="I45" s="33">
        <v>19407</v>
      </c>
      <c r="J45" s="33">
        <v>624</v>
      </c>
      <c r="K45" s="33">
        <v>16090</v>
      </c>
      <c r="L45" s="33">
        <v>36121</v>
      </c>
      <c r="M45" s="33">
        <v>8220</v>
      </c>
      <c r="N45" s="33">
        <v>1</v>
      </c>
      <c r="O45" s="33">
        <v>754</v>
      </c>
      <c r="P45" s="33">
        <v>8975</v>
      </c>
      <c r="Q45" s="33">
        <v>0</v>
      </c>
      <c r="R45" s="33">
        <v>0</v>
      </c>
      <c r="S45" s="56">
        <v>0.70246497991095669</v>
      </c>
      <c r="T45" s="56">
        <v>0.80098013127550116</v>
      </c>
      <c r="U45" s="56">
        <v>0.80098013127550116</v>
      </c>
      <c r="V45" s="10"/>
      <c r="Z45" s="10"/>
    </row>
    <row r="46" spans="2:26" x14ac:dyDescent="0.15">
      <c r="B46" s="32" t="s">
        <v>276</v>
      </c>
      <c r="C46" s="51" t="s">
        <v>760</v>
      </c>
      <c r="D46" s="51" t="s">
        <v>722</v>
      </c>
      <c r="E46" s="33">
        <v>10006</v>
      </c>
      <c r="F46" s="33">
        <v>0</v>
      </c>
      <c r="G46" s="33">
        <v>4101</v>
      </c>
      <c r="H46" s="33">
        <v>14107</v>
      </c>
      <c r="I46" s="33">
        <v>7127</v>
      </c>
      <c r="J46" s="33">
        <v>0</v>
      </c>
      <c r="K46" s="33">
        <v>3907</v>
      </c>
      <c r="L46" s="33">
        <v>11034</v>
      </c>
      <c r="M46" s="33">
        <v>2879</v>
      </c>
      <c r="N46" s="33">
        <v>0</v>
      </c>
      <c r="O46" s="33">
        <v>194</v>
      </c>
      <c r="P46" s="33">
        <v>3073</v>
      </c>
      <c r="Q46" s="33">
        <v>0</v>
      </c>
      <c r="R46" s="33">
        <v>0</v>
      </c>
      <c r="S46" s="56">
        <v>0.71227263641814909</v>
      </c>
      <c r="T46" s="56">
        <v>0.78216488268235629</v>
      </c>
      <c r="U46" s="56">
        <v>0.78216488268235629</v>
      </c>
      <c r="V46" s="10"/>
      <c r="Z46" s="10"/>
    </row>
    <row r="47" spans="2:26" x14ac:dyDescent="0.15">
      <c r="B47" s="32" t="s">
        <v>222</v>
      </c>
      <c r="C47" s="51" t="s">
        <v>760</v>
      </c>
      <c r="D47" s="51" t="s">
        <v>223</v>
      </c>
      <c r="E47" s="33">
        <v>5219</v>
      </c>
      <c r="F47" s="33">
        <v>0</v>
      </c>
      <c r="G47" s="33">
        <v>7405</v>
      </c>
      <c r="H47" s="33">
        <v>12624</v>
      </c>
      <c r="I47" s="33">
        <v>3001</v>
      </c>
      <c r="J47" s="33">
        <v>0</v>
      </c>
      <c r="K47" s="33">
        <v>7332</v>
      </c>
      <c r="L47" s="33">
        <v>10333</v>
      </c>
      <c r="M47" s="33">
        <v>2218</v>
      </c>
      <c r="N47" s="33">
        <v>0</v>
      </c>
      <c r="O47" s="33">
        <v>73</v>
      </c>
      <c r="P47" s="33">
        <v>2291</v>
      </c>
      <c r="Q47" s="33">
        <v>0</v>
      </c>
      <c r="R47" s="33">
        <v>0</v>
      </c>
      <c r="S47" s="56">
        <v>0.57501437056907456</v>
      </c>
      <c r="T47" s="56">
        <v>0.81852027883396705</v>
      </c>
      <c r="U47" s="56">
        <v>0.81852027883396705</v>
      </c>
      <c r="V47" s="10"/>
      <c r="Z47" s="10"/>
    </row>
    <row r="48" spans="2:26" x14ac:dyDescent="0.15">
      <c r="B48" s="32" t="s">
        <v>188</v>
      </c>
      <c r="C48" s="51" t="s">
        <v>760</v>
      </c>
      <c r="D48" s="51" t="s">
        <v>189</v>
      </c>
      <c r="E48" s="33">
        <v>14600</v>
      </c>
      <c r="F48" s="33">
        <v>0</v>
      </c>
      <c r="G48" s="33">
        <v>3868.2900000000004</v>
      </c>
      <c r="H48" s="33">
        <v>18468.29</v>
      </c>
      <c r="I48" s="33">
        <v>10900</v>
      </c>
      <c r="J48" s="33">
        <v>0</v>
      </c>
      <c r="K48" s="33">
        <v>3762.4500000000003</v>
      </c>
      <c r="L48" s="33">
        <v>14662.45</v>
      </c>
      <c r="M48" s="33">
        <v>3700</v>
      </c>
      <c r="N48" s="33">
        <v>0</v>
      </c>
      <c r="O48" s="33">
        <v>105.84</v>
      </c>
      <c r="P48" s="33">
        <v>3805.84</v>
      </c>
      <c r="Q48" s="33">
        <v>3868.2900000000009</v>
      </c>
      <c r="R48" s="33">
        <v>105.84000000000015</v>
      </c>
      <c r="S48" s="56">
        <v>0.74657534246575341</v>
      </c>
      <c r="T48" s="56">
        <v>0.74657534246575341</v>
      </c>
      <c r="U48" s="56">
        <v>0.79392569642343713</v>
      </c>
      <c r="V48" s="10"/>
      <c r="Z48" s="10"/>
    </row>
    <row r="49" spans="2:26" x14ac:dyDescent="0.15">
      <c r="B49" s="32" t="s">
        <v>185</v>
      </c>
      <c r="C49" s="51" t="s">
        <v>760</v>
      </c>
      <c r="D49" s="51" t="s">
        <v>723</v>
      </c>
      <c r="E49" s="33">
        <v>9715</v>
      </c>
      <c r="F49" s="33">
        <v>0</v>
      </c>
      <c r="G49" s="33">
        <v>3008.67</v>
      </c>
      <c r="H49" s="33">
        <v>12723.67</v>
      </c>
      <c r="I49" s="33">
        <v>7009</v>
      </c>
      <c r="J49" s="33">
        <v>0</v>
      </c>
      <c r="K49" s="33">
        <v>2926.35</v>
      </c>
      <c r="L49" s="33">
        <v>9935.35</v>
      </c>
      <c r="M49" s="33">
        <v>2706</v>
      </c>
      <c r="N49" s="33">
        <v>0</v>
      </c>
      <c r="O49" s="33">
        <v>82.32</v>
      </c>
      <c r="P49" s="33">
        <v>2788.32</v>
      </c>
      <c r="Q49" s="33">
        <v>3008.67</v>
      </c>
      <c r="R49" s="33">
        <v>82.320000000000164</v>
      </c>
      <c r="S49" s="56">
        <v>0.72146165723108591</v>
      </c>
      <c r="T49" s="56">
        <v>0.72146165723108591</v>
      </c>
      <c r="U49" s="56">
        <v>0.78085568079021228</v>
      </c>
      <c r="V49" s="10"/>
      <c r="Z49" s="10"/>
    </row>
    <row r="50" spans="2:26" x14ac:dyDescent="0.15">
      <c r="B50" s="32" t="s">
        <v>295</v>
      </c>
      <c r="C50" s="51" t="s">
        <v>872</v>
      </c>
      <c r="D50" s="51" t="s">
        <v>724</v>
      </c>
      <c r="E50" s="33">
        <v>4840</v>
      </c>
      <c r="F50" s="33">
        <v>0</v>
      </c>
      <c r="G50" s="33">
        <v>897</v>
      </c>
      <c r="H50" s="33">
        <v>5737</v>
      </c>
      <c r="I50" s="33">
        <v>3592</v>
      </c>
      <c r="J50" s="33">
        <v>0</v>
      </c>
      <c r="K50" s="33">
        <v>897</v>
      </c>
      <c r="L50" s="33">
        <v>4489</v>
      </c>
      <c r="M50" s="33">
        <v>1248</v>
      </c>
      <c r="N50" s="33">
        <v>0</v>
      </c>
      <c r="O50" s="33">
        <v>0</v>
      </c>
      <c r="P50" s="33">
        <v>1248</v>
      </c>
      <c r="Q50" s="33">
        <v>0</v>
      </c>
      <c r="R50" s="33">
        <v>0</v>
      </c>
      <c r="S50" s="56">
        <v>0.74214876033057853</v>
      </c>
      <c r="T50" s="56">
        <v>0.78246470280634473</v>
      </c>
      <c r="U50" s="56">
        <v>0.78246470280634473</v>
      </c>
      <c r="V50" s="10"/>
      <c r="Z50" s="10"/>
    </row>
    <row r="51" spans="2:26" x14ac:dyDescent="0.15">
      <c r="B51" s="32" t="s">
        <v>330</v>
      </c>
      <c r="C51" s="51" t="s">
        <v>872</v>
      </c>
      <c r="D51" s="51" t="s">
        <v>331</v>
      </c>
      <c r="E51" s="33">
        <v>6890</v>
      </c>
      <c r="F51" s="33">
        <v>0</v>
      </c>
      <c r="G51" s="33">
        <v>9877.08</v>
      </c>
      <c r="H51" s="33">
        <v>16767.079999999998</v>
      </c>
      <c r="I51" s="33">
        <v>3540</v>
      </c>
      <c r="J51" s="33">
        <v>0</v>
      </c>
      <c r="K51" s="33">
        <v>9575.41</v>
      </c>
      <c r="L51" s="33">
        <v>13115.409999999998</v>
      </c>
      <c r="M51" s="33">
        <v>3350</v>
      </c>
      <c r="N51" s="33">
        <v>0</v>
      </c>
      <c r="O51" s="33">
        <v>301.66999999999996</v>
      </c>
      <c r="P51" s="33">
        <v>3651.67</v>
      </c>
      <c r="Q51" s="33">
        <v>4657.0799999999981</v>
      </c>
      <c r="R51" s="33">
        <v>233.67000000000007</v>
      </c>
      <c r="S51" s="56">
        <v>0.51378809869375908</v>
      </c>
      <c r="T51" s="56">
        <v>0.71775392237819979</v>
      </c>
      <c r="U51" s="56">
        <v>0.78221192956674623</v>
      </c>
      <c r="V51" s="10"/>
      <c r="Z51" s="10"/>
    </row>
    <row r="52" spans="2:26" x14ac:dyDescent="0.15">
      <c r="B52" s="32" t="s">
        <v>309</v>
      </c>
      <c r="C52" s="51" t="s">
        <v>872</v>
      </c>
      <c r="D52" s="51" t="s">
        <v>310</v>
      </c>
      <c r="E52" s="33">
        <v>7779</v>
      </c>
      <c r="F52" s="33">
        <v>0</v>
      </c>
      <c r="G52" s="33">
        <v>1653</v>
      </c>
      <c r="H52" s="33">
        <v>9432</v>
      </c>
      <c r="I52" s="33">
        <v>6527</v>
      </c>
      <c r="J52" s="33">
        <v>0</v>
      </c>
      <c r="K52" s="33">
        <v>1653</v>
      </c>
      <c r="L52" s="33">
        <v>8180</v>
      </c>
      <c r="M52" s="33">
        <v>1252</v>
      </c>
      <c r="N52" s="33">
        <v>0</v>
      </c>
      <c r="O52" s="33">
        <v>0</v>
      </c>
      <c r="P52" s="33">
        <v>1252</v>
      </c>
      <c r="Q52" s="33">
        <v>0</v>
      </c>
      <c r="R52" s="33">
        <v>0</v>
      </c>
      <c r="S52" s="56">
        <v>0.83905386296439133</v>
      </c>
      <c r="T52" s="56">
        <v>0.86726039016115353</v>
      </c>
      <c r="U52" s="56">
        <v>0.86726039016115353</v>
      </c>
      <c r="V52" s="10"/>
      <c r="Z52" s="10"/>
    </row>
    <row r="53" spans="2:26" x14ac:dyDescent="0.15">
      <c r="B53" s="32" t="s">
        <v>376</v>
      </c>
      <c r="C53" s="51" t="s">
        <v>872</v>
      </c>
      <c r="D53" s="51" t="s">
        <v>377</v>
      </c>
      <c r="E53" s="33">
        <v>11028</v>
      </c>
      <c r="F53" s="33">
        <v>0</v>
      </c>
      <c r="G53" s="33">
        <v>8976</v>
      </c>
      <c r="H53" s="33">
        <v>20004</v>
      </c>
      <c r="I53" s="33">
        <v>6689</v>
      </c>
      <c r="J53" s="33">
        <v>0</v>
      </c>
      <c r="K53" s="33">
        <v>8955</v>
      </c>
      <c r="L53" s="33">
        <v>15644</v>
      </c>
      <c r="M53" s="33">
        <v>4339</v>
      </c>
      <c r="N53" s="33">
        <v>0</v>
      </c>
      <c r="O53" s="33">
        <v>21</v>
      </c>
      <c r="P53" s="33">
        <v>4360</v>
      </c>
      <c r="Q53" s="33">
        <v>0</v>
      </c>
      <c r="R53" s="33">
        <v>0</v>
      </c>
      <c r="S53" s="56">
        <v>0.6065469713456656</v>
      </c>
      <c r="T53" s="56">
        <v>0.78204359128174361</v>
      </c>
      <c r="U53" s="56">
        <v>0.78204359128174361</v>
      </c>
      <c r="V53" s="10"/>
      <c r="Z53" s="10"/>
    </row>
    <row r="54" spans="2:26" x14ac:dyDescent="0.15">
      <c r="B54" s="32" t="s">
        <v>378</v>
      </c>
      <c r="C54" s="51" t="s">
        <v>872</v>
      </c>
      <c r="D54" s="51" t="s">
        <v>379</v>
      </c>
      <c r="E54" s="33">
        <v>9611</v>
      </c>
      <c r="F54" s="33">
        <v>654</v>
      </c>
      <c r="G54" s="33">
        <v>3988</v>
      </c>
      <c r="H54" s="33">
        <v>14253</v>
      </c>
      <c r="I54" s="33">
        <v>5348</v>
      </c>
      <c r="J54" s="33">
        <v>629</v>
      </c>
      <c r="K54" s="33">
        <v>3908</v>
      </c>
      <c r="L54" s="33">
        <v>9885</v>
      </c>
      <c r="M54" s="33">
        <v>4263</v>
      </c>
      <c r="N54" s="33">
        <v>25</v>
      </c>
      <c r="O54" s="33">
        <v>80</v>
      </c>
      <c r="P54" s="33">
        <v>4368</v>
      </c>
      <c r="Q54" s="33">
        <v>0</v>
      </c>
      <c r="R54" s="33">
        <v>0</v>
      </c>
      <c r="S54" s="56">
        <v>0.55644573925710128</v>
      </c>
      <c r="T54" s="56">
        <v>0.69353820248368769</v>
      </c>
      <c r="U54" s="56">
        <v>0.69353820248368769</v>
      </c>
      <c r="V54" s="10"/>
      <c r="Z54" s="10"/>
    </row>
    <row r="55" spans="2:26" x14ac:dyDescent="0.15">
      <c r="B55" s="32" t="s">
        <v>384</v>
      </c>
      <c r="C55" s="51" t="s">
        <v>872</v>
      </c>
      <c r="D55" s="51" t="s">
        <v>385</v>
      </c>
      <c r="E55" s="33">
        <v>13656</v>
      </c>
      <c r="F55" s="33">
        <v>2016</v>
      </c>
      <c r="G55" s="33">
        <v>12127</v>
      </c>
      <c r="H55" s="33">
        <v>27799</v>
      </c>
      <c r="I55" s="33">
        <v>6086</v>
      </c>
      <c r="J55" s="33">
        <v>1933</v>
      </c>
      <c r="K55" s="33">
        <v>10392</v>
      </c>
      <c r="L55" s="33">
        <v>18411</v>
      </c>
      <c r="M55" s="33">
        <v>7570</v>
      </c>
      <c r="N55" s="33">
        <v>83</v>
      </c>
      <c r="O55" s="33">
        <v>1735</v>
      </c>
      <c r="P55" s="33">
        <v>9388</v>
      </c>
      <c r="Q55" s="33">
        <v>0</v>
      </c>
      <c r="R55" s="33">
        <v>0</v>
      </c>
      <c r="S55" s="56">
        <v>0.44566490919742235</v>
      </c>
      <c r="T55" s="56">
        <v>0.66229001043202995</v>
      </c>
      <c r="U55" s="56">
        <v>0.66229001043202995</v>
      </c>
      <c r="V55" s="10"/>
      <c r="Z55" s="10"/>
    </row>
    <row r="56" spans="2:26" x14ac:dyDescent="0.15">
      <c r="B56" s="32" t="s">
        <v>404</v>
      </c>
      <c r="C56" s="51" t="s">
        <v>872</v>
      </c>
      <c r="D56" s="51" t="s">
        <v>725</v>
      </c>
      <c r="E56" s="33">
        <v>12136</v>
      </c>
      <c r="F56" s="33">
        <v>1281</v>
      </c>
      <c r="G56" s="33">
        <v>8369</v>
      </c>
      <c r="H56" s="33">
        <v>21786</v>
      </c>
      <c r="I56" s="33">
        <v>6916</v>
      </c>
      <c r="J56" s="33">
        <v>1024</v>
      </c>
      <c r="K56" s="33">
        <v>8284</v>
      </c>
      <c r="L56" s="33">
        <v>16224</v>
      </c>
      <c r="M56" s="33">
        <v>5220</v>
      </c>
      <c r="N56" s="33">
        <v>257</v>
      </c>
      <c r="O56" s="33">
        <v>85</v>
      </c>
      <c r="P56" s="33">
        <v>5562</v>
      </c>
      <c r="Q56" s="33">
        <v>0</v>
      </c>
      <c r="R56" s="33">
        <v>0</v>
      </c>
      <c r="S56" s="56">
        <v>0.56987475280158206</v>
      </c>
      <c r="T56" s="56">
        <v>0.7446984301845222</v>
      </c>
      <c r="U56" s="56">
        <v>0.7446984301845222</v>
      </c>
      <c r="V56" s="10"/>
      <c r="Z56" s="10"/>
    </row>
    <row r="57" spans="2:26" x14ac:dyDescent="0.15">
      <c r="B57" s="32" t="s">
        <v>386</v>
      </c>
      <c r="C57" s="51" t="s">
        <v>872</v>
      </c>
      <c r="D57" s="51" t="s">
        <v>387</v>
      </c>
      <c r="E57" s="33">
        <v>11265</v>
      </c>
      <c r="F57" s="33">
        <v>0</v>
      </c>
      <c r="G57" s="33">
        <v>5917</v>
      </c>
      <c r="H57" s="33">
        <v>17182</v>
      </c>
      <c r="I57" s="33">
        <v>7732</v>
      </c>
      <c r="J57" s="33">
        <v>0</v>
      </c>
      <c r="K57" s="33">
        <v>5047</v>
      </c>
      <c r="L57" s="33">
        <v>12779</v>
      </c>
      <c r="M57" s="33">
        <v>3533</v>
      </c>
      <c r="N57" s="33">
        <v>0</v>
      </c>
      <c r="O57" s="33">
        <v>870</v>
      </c>
      <c r="P57" s="33">
        <v>4403</v>
      </c>
      <c r="Q57" s="33">
        <v>0</v>
      </c>
      <c r="R57" s="33">
        <v>0</v>
      </c>
      <c r="S57" s="56">
        <v>0.68637372392365736</v>
      </c>
      <c r="T57" s="56">
        <v>0.74374345245023865</v>
      </c>
      <c r="U57" s="56">
        <v>0.74374345245023865</v>
      </c>
      <c r="V57" s="10"/>
      <c r="Z57" s="10"/>
    </row>
    <row r="58" spans="2:26" x14ac:dyDescent="0.15">
      <c r="B58" s="32" t="s">
        <v>388</v>
      </c>
      <c r="C58" s="51" t="s">
        <v>872</v>
      </c>
      <c r="D58" s="51" t="s">
        <v>389</v>
      </c>
      <c r="E58" s="33">
        <v>11747</v>
      </c>
      <c r="F58" s="33">
        <v>0</v>
      </c>
      <c r="G58" s="33">
        <v>6204</v>
      </c>
      <c r="H58" s="33">
        <v>17951</v>
      </c>
      <c r="I58" s="33">
        <v>5069</v>
      </c>
      <c r="J58" s="33">
        <v>0</v>
      </c>
      <c r="K58" s="33">
        <v>5843</v>
      </c>
      <c r="L58" s="33">
        <v>10912</v>
      </c>
      <c r="M58" s="33">
        <v>6678</v>
      </c>
      <c r="N58" s="33">
        <v>0</v>
      </c>
      <c r="O58" s="33">
        <v>361</v>
      </c>
      <c r="P58" s="33">
        <v>7039</v>
      </c>
      <c r="Q58" s="33">
        <v>3616</v>
      </c>
      <c r="R58" s="33">
        <v>15</v>
      </c>
      <c r="S58" s="56">
        <v>0.43151442921597005</v>
      </c>
      <c r="T58" s="56">
        <v>0.51001046389954652</v>
      </c>
      <c r="U58" s="56">
        <v>0.60787699849590549</v>
      </c>
      <c r="V58" s="10"/>
      <c r="Z58" s="10"/>
    </row>
    <row r="59" spans="2:26" x14ac:dyDescent="0.15">
      <c r="B59" s="32" t="s">
        <v>313</v>
      </c>
      <c r="C59" s="51" t="s">
        <v>872</v>
      </c>
      <c r="D59" s="51" t="s">
        <v>314</v>
      </c>
      <c r="E59" s="33">
        <v>8510</v>
      </c>
      <c r="F59" s="33">
        <v>0</v>
      </c>
      <c r="G59" s="33">
        <v>543</v>
      </c>
      <c r="H59" s="33">
        <v>9053</v>
      </c>
      <c r="I59" s="33">
        <v>5738</v>
      </c>
      <c r="J59" s="33">
        <v>0</v>
      </c>
      <c r="K59" s="33">
        <v>543</v>
      </c>
      <c r="L59" s="33">
        <v>6281</v>
      </c>
      <c r="M59" s="33">
        <v>2772</v>
      </c>
      <c r="N59" s="33">
        <v>0</v>
      </c>
      <c r="O59" s="33">
        <v>0</v>
      </c>
      <c r="P59" s="33">
        <v>2772</v>
      </c>
      <c r="Q59" s="33">
        <v>0</v>
      </c>
      <c r="R59" s="33">
        <v>0</v>
      </c>
      <c r="S59" s="56">
        <v>0.67426556991774378</v>
      </c>
      <c r="T59" s="56">
        <v>0.69380315917375457</v>
      </c>
      <c r="U59" s="56">
        <v>0.69380315917375457</v>
      </c>
      <c r="V59" s="10"/>
      <c r="Z59" s="10"/>
    </row>
    <row r="60" spans="2:26" x14ac:dyDescent="0.15">
      <c r="B60" s="32" t="s">
        <v>405</v>
      </c>
      <c r="C60" s="51" t="s">
        <v>872</v>
      </c>
      <c r="D60" s="51" t="s">
        <v>406</v>
      </c>
      <c r="E60" s="33">
        <v>10834</v>
      </c>
      <c r="F60" s="33">
        <v>0</v>
      </c>
      <c r="G60" s="33">
        <v>4331</v>
      </c>
      <c r="H60" s="33">
        <v>15165</v>
      </c>
      <c r="I60" s="33">
        <v>7938</v>
      </c>
      <c r="J60" s="33">
        <v>0</v>
      </c>
      <c r="K60" s="33">
        <v>4239</v>
      </c>
      <c r="L60" s="33">
        <v>12177</v>
      </c>
      <c r="M60" s="33">
        <v>2896</v>
      </c>
      <c r="N60" s="33">
        <v>0</v>
      </c>
      <c r="O60" s="33">
        <v>92</v>
      </c>
      <c r="P60" s="33">
        <v>2988</v>
      </c>
      <c r="Q60" s="33">
        <v>0</v>
      </c>
      <c r="R60" s="33">
        <v>0</v>
      </c>
      <c r="S60" s="56">
        <v>0.73269337271552515</v>
      </c>
      <c r="T60" s="56">
        <v>0.80296735905044514</v>
      </c>
      <c r="U60" s="56">
        <v>0.80296735905044514</v>
      </c>
      <c r="V60" s="10"/>
      <c r="Z60" s="10"/>
    </row>
    <row r="61" spans="2:26" x14ac:dyDescent="0.15">
      <c r="B61" s="32" t="s">
        <v>407</v>
      </c>
      <c r="C61" s="51" t="s">
        <v>872</v>
      </c>
      <c r="D61" s="51" t="s">
        <v>408</v>
      </c>
      <c r="E61" s="33">
        <v>11706</v>
      </c>
      <c r="F61" s="33">
        <v>1633</v>
      </c>
      <c r="G61" s="33">
        <v>7582</v>
      </c>
      <c r="H61" s="33">
        <v>20921</v>
      </c>
      <c r="I61" s="33">
        <v>7762</v>
      </c>
      <c r="J61" s="33">
        <v>1588</v>
      </c>
      <c r="K61" s="33">
        <v>7384</v>
      </c>
      <c r="L61" s="33">
        <v>16734</v>
      </c>
      <c r="M61" s="33">
        <v>3944</v>
      </c>
      <c r="N61" s="33">
        <v>45</v>
      </c>
      <c r="O61" s="33">
        <v>198</v>
      </c>
      <c r="P61" s="33">
        <v>4187</v>
      </c>
      <c r="Q61" s="33">
        <v>0</v>
      </c>
      <c r="R61" s="33">
        <v>0</v>
      </c>
      <c r="S61" s="56">
        <v>0.66307876302750723</v>
      </c>
      <c r="T61" s="56">
        <v>0.79986616318531623</v>
      </c>
      <c r="U61" s="56">
        <v>0.79986616318531623</v>
      </c>
      <c r="V61" s="10"/>
      <c r="Z61" s="10"/>
    </row>
    <row r="62" spans="2:26" x14ac:dyDescent="0.15">
      <c r="B62" s="32" t="s">
        <v>362</v>
      </c>
      <c r="C62" s="32" t="s">
        <v>872</v>
      </c>
      <c r="D62" s="32" t="s">
        <v>363</v>
      </c>
      <c r="E62" s="33">
        <v>17584</v>
      </c>
      <c r="F62" s="33">
        <v>0</v>
      </c>
      <c r="G62" s="33">
        <v>14647</v>
      </c>
      <c r="H62" s="33">
        <v>32231</v>
      </c>
      <c r="I62" s="33">
        <v>11191</v>
      </c>
      <c r="J62" s="33">
        <v>0</v>
      </c>
      <c r="K62" s="33">
        <v>13924</v>
      </c>
      <c r="L62" s="33">
        <v>25115</v>
      </c>
      <c r="M62" s="33">
        <v>6393</v>
      </c>
      <c r="N62" s="33">
        <v>0</v>
      </c>
      <c r="O62" s="33">
        <v>723</v>
      </c>
      <c r="P62" s="33">
        <v>7116</v>
      </c>
      <c r="Q62" s="33">
        <v>10207</v>
      </c>
      <c r="R62" s="33">
        <v>238</v>
      </c>
      <c r="S62" s="56">
        <v>0.63643084622383983</v>
      </c>
      <c r="T62" s="56">
        <v>0.68770432255721037</v>
      </c>
      <c r="U62" s="56">
        <v>0.77921876454345196</v>
      </c>
      <c r="V62" s="10"/>
      <c r="Z62" s="10"/>
    </row>
    <row r="63" spans="2:26" x14ac:dyDescent="0.15">
      <c r="B63" s="32" t="s">
        <v>300</v>
      </c>
      <c r="C63" s="51" t="s">
        <v>872</v>
      </c>
      <c r="D63" s="51" t="s">
        <v>301</v>
      </c>
      <c r="E63" s="33">
        <v>34437</v>
      </c>
      <c r="F63" s="33">
        <v>407</v>
      </c>
      <c r="G63" s="33">
        <v>12659</v>
      </c>
      <c r="H63" s="33">
        <v>47503</v>
      </c>
      <c r="I63" s="33">
        <v>19748</v>
      </c>
      <c r="J63" s="33">
        <v>407</v>
      </c>
      <c r="K63" s="33">
        <v>12600</v>
      </c>
      <c r="L63" s="33">
        <v>32755</v>
      </c>
      <c r="M63" s="33">
        <v>14689</v>
      </c>
      <c r="N63" s="33">
        <v>0</v>
      </c>
      <c r="O63" s="33">
        <v>59</v>
      </c>
      <c r="P63" s="33">
        <v>14748</v>
      </c>
      <c r="Q63" s="33">
        <v>0</v>
      </c>
      <c r="R63" s="33">
        <v>0</v>
      </c>
      <c r="S63" s="56">
        <v>0.57345297209396873</v>
      </c>
      <c r="T63" s="56">
        <v>0.68953539776435169</v>
      </c>
      <c r="U63" s="56">
        <v>0.68953539776435169</v>
      </c>
      <c r="V63" s="10"/>
      <c r="Z63" s="10"/>
    </row>
    <row r="64" spans="2:26" x14ac:dyDescent="0.15">
      <c r="B64" s="32" t="s">
        <v>315</v>
      </c>
      <c r="C64" s="51" t="s">
        <v>872</v>
      </c>
      <c r="D64" s="51" t="s">
        <v>726</v>
      </c>
      <c r="E64" s="33">
        <v>13154</v>
      </c>
      <c r="F64" s="33">
        <v>2778</v>
      </c>
      <c r="G64" s="33">
        <v>5874</v>
      </c>
      <c r="H64" s="33">
        <v>21806</v>
      </c>
      <c r="I64" s="33">
        <v>7987</v>
      </c>
      <c r="J64" s="33">
        <v>2691</v>
      </c>
      <c r="K64" s="33">
        <v>5751</v>
      </c>
      <c r="L64" s="33">
        <v>16429</v>
      </c>
      <c r="M64" s="33">
        <v>5167</v>
      </c>
      <c r="N64" s="33">
        <v>87</v>
      </c>
      <c r="O64" s="33">
        <v>123</v>
      </c>
      <c r="P64" s="33">
        <v>5377</v>
      </c>
      <c r="Q64" s="33">
        <v>0</v>
      </c>
      <c r="R64" s="33">
        <v>0</v>
      </c>
      <c r="S64" s="56">
        <v>0.60719172875171046</v>
      </c>
      <c r="T64" s="56">
        <v>0.75341649087407137</v>
      </c>
      <c r="U64" s="56">
        <v>0.75341649087407137</v>
      </c>
      <c r="V64" s="10"/>
      <c r="Z64" s="10"/>
    </row>
    <row r="65" spans="2:26" x14ac:dyDescent="0.15">
      <c r="B65" s="32" t="s">
        <v>332</v>
      </c>
      <c r="C65" s="51" t="s">
        <v>872</v>
      </c>
      <c r="D65" s="51" t="s">
        <v>333</v>
      </c>
      <c r="E65" s="33">
        <v>22823</v>
      </c>
      <c r="F65" s="33">
        <v>0</v>
      </c>
      <c r="G65" s="33">
        <v>15016.92</v>
      </c>
      <c r="H65" s="33">
        <v>37839.919999999998</v>
      </c>
      <c r="I65" s="33">
        <v>12301</v>
      </c>
      <c r="J65" s="33">
        <v>0</v>
      </c>
      <c r="K65" s="33">
        <v>14752.59</v>
      </c>
      <c r="L65" s="33">
        <v>27053.589999999997</v>
      </c>
      <c r="M65" s="33">
        <v>10522</v>
      </c>
      <c r="N65" s="33">
        <v>0</v>
      </c>
      <c r="O65" s="33">
        <v>264.33000000000004</v>
      </c>
      <c r="P65" s="33">
        <v>10786.33</v>
      </c>
      <c r="Q65" s="33">
        <v>5402.9199999999983</v>
      </c>
      <c r="R65" s="33">
        <v>253.32999999999993</v>
      </c>
      <c r="S65" s="56">
        <v>0.53897384217675148</v>
      </c>
      <c r="T65" s="56">
        <v>0.67527823164904277</v>
      </c>
      <c r="U65" s="56">
        <v>0.71494839312556679</v>
      </c>
      <c r="V65" s="10"/>
      <c r="Z65" s="10"/>
    </row>
    <row r="66" spans="2:26" x14ac:dyDescent="0.15">
      <c r="B66" s="32" t="s">
        <v>357</v>
      </c>
      <c r="C66" s="51" t="s">
        <v>872</v>
      </c>
      <c r="D66" s="51" t="s">
        <v>727</v>
      </c>
      <c r="E66" s="33">
        <v>24152</v>
      </c>
      <c r="F66" s="33">
        <v>2198</v>
      </c>
      <c r="G66" s="33">
        <v>16850</v>
      </c>
      <c r="H66" s="33">
        <v>43200</v>
      </c>
      <c r="I66" s="33">
        <v>14347</v>
      </c>
      <c r="J66" s="33">
        <v>2012</v>
      </c>
      <c r="K66" s="33">
        <v>16797</v>
      </c>
      <c r="L66" s="33">
        <v>33156</v>
      </c>
      <c r="M66" s="33">
        <v>9805</v>
      </c>
      <c r="N66" s="33">
        <v>186</v>
      </c>
      <c r="O66" s="33">
        <v>53</v>
      </c>
      <c r="P66" s="33">
        <v>10044</v>
      </c>
      <c r="Q66" s="33">
        <v>16850</v>
      </c>
      <c r="R66" s="33">
        <v>53</v>
      </c>
      <c r="S66" s="56">
        <v>0.59402947996025179</v>
      </c>
      <c r="T66" s="56">
        <v>0.62083491461100571</v>
      </c>
      <c r="U66" s="56">
        <v>0.76749999999999996</v>
      </c>
      <c r="V66" s="10"/>
      <c r="Z66" s="10"/>
    </row>
    <row r="67" spans="2:26" x14ac:dyDescent="0.15">
      <c r="B67" s="32" t="s">
        <v>393</v>
      </c>
      <c r="C67" s="51" t="s">
        <v>872</v>
      </c>
      <c r="D67" s="51" t="s">
        <v>728</v>
      </c>
      <c r="E67" s="33">
        <v>15769</v>
      </c>
      <c r="F67" s="33">
        <v>540</v>
      </c>
      <c r="G67" s="33">
        <v>9723</v>
      </c>
      <c r="H67" s="33">
        <v>26032</v>
      </c>
      <c r="I67" s="33">
        <v>7131</v>
      </c>
      <c r="J67" s="33">
        <v>540</v>
      </c>
      <c r="K67" s="33">
        <v>9520</v>
      </c>
      <c r="L67" s="33">
        <v>17191</v>
      </c>
      <c r="M67" s="33">
        <v>8638</v>
      </c>
      <c r="N67" s="33">
        <v>0</v>
      </c>
      <c r="O67" s="33">
        <v>203</v>
      </c>
      <c r="P67" s="33">
        <v>8841</v>
      </c>
      <c r="Q67" s="33">
        <v>0</v>
      </c>
      <c r="R67" s="33">
        <v>0</v>
      </c>
      <c r="S67" s="56">
        <v>0.45221637389815461</v>
      </c>
      <c r="T67" s="56">
        <v>0.66037953288260598</v>
      </c>
      <c r="U67" s="56">
        <v>0.66037953288260598</v>
      </c>
      <c r="V67" s="10"/>
      <c r="Z67" s="10"/>
    </row>
    <row r="68" spans="2:26" x14ac:dyDescent="0.15">
      <c r="B68" s="32" t="s">
        <v>409</v>
      </c>
      <c r="C68" s="51" t="s">
        <v>872</v>
      </c>
      <c r="D68" s="51" t="s">
        <v>410</v>
      </c>
      <c r="E68" s="33">
        <v>10508</v>
      </c>
      <c r="F68" s="33">
        <v>0</v>
      </c>
      <c r="G68" s="33">
        <v>4324</v>
      </c>
      <c r="H68" s="33">
        <v>14832</v>
      </c>
      <c r="I68" s="33">
        <v>7019</v>
      </c>
      <c r="J68" s="33">
        <v>0</v>
      </c>
      <c r="K68" s="33">
        <v>4149</v>
      </c>
      <c r="L68" s="33">
        <v>11168</v>
      </c>
      <c r="M68" s="33">
        <v>3489</v>
      </c>
      <c r="N68" s="33">
        <v>0</v>
      </c>
      <c r="O68" s="33">
        <v>175</v>
      </c>
      <c r="P68" s="33">
        <v>3664</v>
      </c>
      <c r="Q68" s="33">
        <v>0</v>
      </c>
      <c r="R68" s="33">
        <v>0</v>
      </c>
      <c r="S68" s="56">
        <v>0.66796726303768561</v>
      </c>
      <c r="T68" s="56">
        <v>0.75296655879180152</v>
      </c>
      <c r="U68" s="56">
        <v>0.75296655879180152</v>
      </c>
      <c r="V68" s="10"/>
      <c r="Z68" s="10"/>
    </row>
    <row r="69" spans="2:26" x14ac:dyDescent="0.15">
      <c r="B69" s="32" t="s">
        <v>316</v>
      </c>
      <c r="C69" s="51" t="s">
        <v>872</v>
      </c>
      <c r="D69" s="51" t="s">
        <v>317</v>
      </c>
      <c r="E69" s="33">
        <v>14684</v>
      </c>
      <c r="F69" s="33">
        <v>0</v>
      </c>
      <c r="G69" s="33">
        <v>6398</v>
      </c>
      <c r="H69" s="33">
        <v>21082</v>
      </c>
      <c r="I69" s="33">
        <v>7755</v>
      </c>
      <c r="J69" s="33">
        <v>0</v>
      </c>
      <c r="K69" s="33">
        <v>6264</v>
      </c>
      <c r="L69" s="33">
        <v>14019</v>
      </c>
      <c r="M69" s="33">
        <v>6929</v>
      </c>
      <c r="N69" s="33">
        <v>0</v>
      </c>
      <c r="O69" s="33">
        <v>134</v>
      </c>
      <c r="P69" s="33">
        <v>7063</v>
      </c>
      <c r="Q69" s="33">
        <v>0</v>
      </c>
      <c r="R69" s="33">
        <v>0</v>
      </c>
      <c r="S69" s="56">
        <v>0.52812585126668488</v>
      </c>
      <c r="T69" s="56">
        <v>0.66497486007020212</v>
      </c>
      <c r="U69" s="56">
        <v>0.66497486007020212</v>
      </c>
      <c r="V69" s="10"/>
      <c r="Z69" s="10"/>
    </row>
    <row r="70" spans="2:26" x14ac:dyDescent="0.15">
      <c r="B70" s="32" t="s">
        <v>318</v>
      </c>
      <c r="C70" s="51" t="s">
        <v>872</v>
      </c>
      <c r="D70" s="51" t="s">
        <v>319</v>
      </c>
      <c r="E70" s="33">
        <v>6436</v>
      </c>
      <c r="F70" s="33">
        <v>976</v>
      </c>
      <c r="G70" s="33">
        <v>148</v>
      </c>
      <c r="H70" s="33">
        <v>7560</v>
      </c>
      <c r="I70" s="33">
        <v>3811</v>
      </c>
      <c r="J70" s="33">
        <v>976</v>
      </c>
      <c r="K70" s="33">
        <v>148</v>
      </c>
      <c r="L70" s="33">
        <v>4935</v>
      </c>
      <c r="M70" s="33">
        <v>2625</v>
      </c>
      <c r="N70" s="33">
        <v>0</v>
      </c>
      <c r="O70" s="33">
        <v>0</v>
      </c>
      <c r="P70" s="33">
        <v>2625</v>
      </c>
      <c r="Q70" s="33">
        <v>0</v>
      </c>
      <c r="R70" s="33">
        <v>0</v>
      </c>
      <c r="S70" s="56">
        <v>0.59213797389683032</v>
      </c>
      <c r="T70" s="56">
        <v>0.65277777777777779</v>
      </c>
      <c r="U70" s="56">
        <v>0.65277777777777779</v>
      </c>
      <c r="V70" s="10"/>
      <c r="Z70" s="10"/>
    </row>
    <row r="71" spans="2:26" x14ac:dyDescent="0.15">
      <c r="B71" s="32" t="s">
        <v>529</v>
      </c>
      <c r="C71" s="51" t="s">
        <v>869</v>
      </c>
      <c r="D71" s="51" t="s">
        <v>530</v>
      </c>
      <c r="E71" s="33">
        <v>6549</v>
      </c>
      <c r="F71" s="33">
        <v>278</v>
      </c>
      <c r="G71" s="33">
        <v>0</v>
      </c>
      <c r="H71" s="33">
        <v>6827</v>
      </c>
      <c r="I71" s="33">
        <v>3945</v>
      </c>
      <c r="J71" s="33">
        <v>278</v>
      </c>
      <c r="K71" s="33">
        <v>0</v>
      </c>
      <c r="L71" s="33">
        <v>4223</v>
      </c>
      <c r="M71" s="33">
        <v>2604</v>
      </c>
      <c r="N71" s="33">
        <v>0</v>
      </c>
      <c r="O71" s="33">
        <v>0</v>
      </c>
      <c r="P71" s="33">
        <v>2604</v>
      </c>
      <c r="Q71" s="33">
        <v>0</v>
      </c>
      <c r="R71" s="33">
        <v>0</v>
      </c>
      <c r="S71" s="56">
        <v>0.6023820430600092</v>
      </c>
      <c r="T71" s="56">
        <v>0.6185733118500073</v>
      </c>
      <c r="U71" s="56">
        <v>0.6185733118500073</v>
      </c>
      <c r="V71" s="10"/>
      <c r="Z71" s="10"/>
    </row>
    <row r="72" spans="2:26" x14ac:dyDescent="0.15">
      <c r="B72" s="32" t="s">
        <v>521</v>
      </c>
      <c r="C72" s="51" t="s">
        <v>869</v>
      </c>
      <c r="D72" s="51" t="s">
        <v>522</v>
      </c>
      <c r="E72" s="33">
        <v>10098</v>
      </c>
      <c r="F72" s="33">
        <v>0</v>
      </c>
      <c r="G72" s="33">
        <v>0</v>
      </c>
      <c r="H72" s="33">
        <v>10098</v>
      </c>
      <c r="I72" s="33">
        <v>7197</v>
      </c>
      <c r="J72" s="33">
        <v>0</v>
      </c>
      <c r="K72" s="33">
        <v>0</v>
      </c>
      <c r="L72" s="33">
        <v>7197</v>
      </c>
      <c r="M72" s="33">
        <v>2901</v>
      </c>
      <c r="N72" s="33">
        <v>0</v>
      </c>
      <c r="O72" s="33">
        <v>0</v>
      </c>
      <c r="P72" s="33">
        <v>2901</v>
      </c>
      <c r="Q72" s="33">
        <v>0</v>
      </c>
      <c r="R72" s="33">
        <v>0</v>
      </c>
      <c r="S72" s="56">
        <v>0.71271538918597743</v>
      </c>
      <c r="T72" s="56">
        <v>0.71271538918597743</v>
      </c>
      <c r="U72" s="56">
        <v>0.71271538918597743</v>
      </c>
      <c r="V72" s="10"/>
      <c r="Z72" s="10"/>
    </row>
    <row r="73" spans="2:26" x14ac:dyDescent="0.15">
      <c r="B73" s="32" t="s">
        <v>531</v>
      </c>
      <c r="C73" s="51" t="s">
        <v>869</v>
      </c>
      <c r="D73" s="51" t="s">
        <v>532</v>
      </c>
      <c r="E73" s="33">
        <v>9332</v>
      </c>
      <c r="F73" s="33">
        <v>861</v>
      </c>
      <c r="G73" s="33">
        <v>3753</v>
      </c>
      <c r="H73" s="33">
        <v>13946</v>
      </c>
      <c r="I73" s="33">
        <v>6849</v>
      </c>
      <c r="J73" s="33">
        <v>861</v>
      </c>
      <c r="K73" s="33">
        <v>3745</v>
      </c>
      <c r="L73" s="33">
        <v>11455</v>
      </c>
      <c r="M73" s="33">
        <v>2483</v>
      </c>
      <c r="N73" s="33">
        <v>0</v>
      </c>
      <c r="O73" s="33">
        <v>8</v>
      </c>
      <c r="P73" s="33">
        <v>2491</v>
      </c>
      <c r="Q73" s="33">
        <v>0</v>
      </c>
      <c r="R73" s="33">
        <v>0</v>
      </c>
      <c r="S73" s="56">
        <v>0.73392627518216891</v>
      </c>
      <c r="T73" s="56">
        <v>0.82138247526172381</v>
      </c>
      <c r="U73" s="56">
        <v>0.82138247526172381</v>
      </c>
      <c r="V73" s="10"/>
      <c r="Z73" s="10"/>
    </row>
    <row r="74" spans="2:26" x14ac:dyDescent="0.15">
      <c r="B74" s="32" t="s">
        <v>533</v>
      </c>
      <c r="C74" s="51" t="s">
        <v>869</v>
      </c>
      <c r="D74" s="51" t="s">
        <v>729</v>
      </c>
      <c r="E74" s="33">
        <v>16465</v>
      </c>
      <c r="F74" s="33">
        <v>0</v>
      </c>
      <c r="G74" s="33">
        <v>2517</v>
      </c>
      <c r="H74" s="33">
        <v>18982</v>
      </c>
      <c r="I74" s="33">
        <v>14048</v>
      </c>
      <c r="J74" s="33">
        <v>0</v>
      </c>
      <c r="K74" s="33">
        <v>2508</v>
      </c>
      <c r="L74" s="33">
        <v>16556</v>
      </c>
      <c r="M74" s="33">
        <v>2417</v>
      </c>
      <c r="N74" s="33">
        <v>0</v>
      </c>
      <c r="O74" s="33">
        <v>9</v>
      </c>
      <c r="P74" s="33">
        <v>2426</v>
      </c>
      <c r="Q74" s="33">
        <v>2517</v>
      </c>
      <c r="R74" s="33">
        <v>9</v>
      </c>
      <c r="S74" s="56">
        <v>0.85320376556331612</v>
      </c>
      <c r="T74" s="56">
        <v>0.85320376556331612</v>
      </c>
      <c r="U74" s="56">
        <v>0.87219471077863242</v>
      </c>
      <c r="V74" s="10"/>
      <c r="Z74" s="10"/>
    </row>
    <row r="75" spans="2:26" x14ac:dyDescent="0.15">
      <c r="B75" s="32" t="s">
        <v>445</v>
      </c>
      <c r="C75" s="51" t="s">
        <v>869</v>
      </c>
      <c r="D75" s="51" t="s">
        <v>730</v>
      </c>
      <c r="E75" s="33">
        <v>12901</v>
      </c>
      <c r="F75" s="33">
        <v>0</v>
      </c>
      <c r="G75" s="33">
        <v>10457</v>
      </c>
      <c r="H75" s="33">
        <v>23358</v>
      </c>
      <c r="I75" s="33">
        <v>7588</v>
      </c>
      <c r="J75" s="33">
        <v>0</v>
      </c>
      <c r="K75" s="33">
        <v>10457</v>
      </c>
      <c r="L75" s="33">
        <v>18045</v>
      </c>
      <c r="M75" s="33">
        <v>5313</v>
      </c>
      <c r="N75" s="33">
        <v>0</v>
      </c>
      <c r="O75" s="33">
        <v>0</v>
      </c>
      <c r="P75" s="33">
        <v>5313</v>
      </c>
      <c r="Q75" s="33">
        <v>0</v>
      </c>
      <c r="R75" s="33">
        <v>0</v>
      </c>
      <c r="S75" s="56">
        <v>0.58817145957677697</v>
      </c>
      <c r="T75" s="56">
        <v>0.77254045723092735</v>
      </c>
      <c r="U75" s="56">
        <v>0.77254045723092735</v>
      </c>
      <c r="V75" s="10"/>
      <c r="Z75" s="10"/>
    </row>
    <row r="76" spans="2:26" x14ac:dyDescent="0.15">
      <c r="B76" s="32" t="s">
        <v>523</v>
      </c>
      <c r="C76" s="51" t="s">
        <v>869</v>
      </c>
      <c r="D76" s="51" t="s">
        <v>731</v>
      </c>
      <c r="E76" s="33">
        <v>14439</v>
      </c>
      <c r="F76" s="33">
        <v>0</v>
      </c>
      <c r="G76" s="33">
        <v>4120</v>
      </c>
      <c r="H76" s="33">
        <v>18559</v>
      </c>
      <c r="I76" s="33">
        <v>9492</v>
      </c>
      <c r="J76" s="33">
        <v>0</v>
      </c>
      <c r="K76" s="33">
        <v>4111</v>
      </c>
      <c r="L76" s="33">
        <v>13603</v>
      </c>
      <c r="M76" s="33">
        <v>4947</v>
      </c>
      <c r="N76" s="33">
        <v>0</v>
      </c>
      <c r="O76" s="33">
        <v>9</v>
      </c>
      <c r="P76" s="33">
        <v>4956</v>
      </c>
      <c r="Q76" s="33">
        <v>0</v>
      </c>
      <c r="R76" s="33">
        <v>0</v>
      </c>
      <c r="S76" s="56">
        <v>0.65738624558487435</v>
      </c>
      <c r="T76" s="56">
        <v>0.73295974998652946</v>
      </c>
      <c r="U76" s="56">
        <v>0.73295974998652946</v>
      </c>
      <c r="V76" s="10"/>
      <c r="Z76" s="10"/>
    </row>
    <row r="77" spans="2:26" x14ac:dyDescent="0.15">
      <c r="B77" s="32" t="s">
        <v>448</v>
      </c>
      <c r="C77" s="51" t="s">
        <v>869</v>
      </c>
      <c r="D77" s="51" t="s">
        <v>449</v>
      </c>
      <c r="E77" s="33">
        <v>5605</v>
      </c>
      <c r="F77" s="33">
        <v>0</v>
      </c>
      <c r="G77" s="33">
        <v>4691</v>
      </c>
      <c r="H77" s="33">
        <v>10296</v>
      </c>
      <c r="I77" s="33">
        <v>3303</v>
      </c>
      <c r="J77" s="33">
        <v>0</v>
      </c>
      <c r="K77" s="33">
        <v>4649</v>
      </c>
      <c r="L77" s="33">
        <v>7952</v>
      </c>
      <c r="M77" s="33">
        <v>2302</v>
      </c>
      <c r="N77" s="33">
        <v>0</v>
      </c>
      <c r="O77" s="33">
        <v>42</v>
      </c>
      <c r="P77" s="33">
        <v>2344</v>
      </c>
      <c r="Q77" s="33">
        <v>0</v>
      </c>
      <c r="R77" s="33">
        <v>0</v>
      </c>
      <c r="S77" s="56">
        <v>0.5892952720785013</v>
      </c>
      <c r="T77" s="56">
        <v>0.77233877233877235</v>
      </c>
      <c r="U77" s="56">
        <v>0.77233877233877235</v>
      </c>
      <c r="V77" s="10"/>
      <c r="Z77" s="10"/>
    </row>
    <row r="78" spans="2:26" x14ac:dyDescent="0.15">
      <c r="B78" s="32" t="s">
        <v>534</v>
      </c>
      <c r="C78" s="51" t="s">
        <v>869</v>
      </c>
      <c r="D78" s="51" t="s">
        <v>732</v>
      </c>
      <c r="E78" s="33">
        <v>5599</v>
      </c>
      <c r="F78" s="33">
        <v>0</v>
      </c>
      <c r="G78" s="33">
        <v>1520</v>
      </c>
      <c r="H78" s="33">
        <v>7119</v>
      </c>
      <c r="I78" s="33">
        <v>3626</v>
      </c>
      <c r="J78" s="33">
        <v>0</v>
      </c>
      <c r="K78" s="33">
        <v>1508</v>
      </c>
      <c r="L78" s="33">
        <v>5134</v>
      </c>
      <c r="M78" s="33">
        <v>1973</v>
      </c>
      <c r="N78" s="33">
        <v>0</v>
      </c>
      <c r="O78" s="33">
        <v>12</v>
      </c>
      <c r="P78" s="33">
        <v>1985</v>
      </c>
      <c r="Q78" s="33">
        <v>0</v>
      </c>
      <c r="R78" s="33">
        <v>0</v>
      </c>
      <c r="S78" s="56">
        <v>0.64761564565100915</v>
      </c>
      <c r="T78" s="56">
        <v>0.72116870346958839</v>
      </c>
      <c r="U78" s="56">
        <v>0.72116870346958839</v>
      </c>
      <c r="V78" s="10"/>
      <c r="Z78" s="10"/>
    </row>
    <row r="79" spans="2:26" x14ac:dyDescent="0.15">
      <c r="B79" s="32" t="s">
        <v>510</v>
      </c>
      <c r="C79" s="32" t="s">
        <v>869</v>
      </c>
      <c r="D79" s="32" t="s">
        <v>511</v>
      </c>
      <c r="E79" s="33">
        <v>10218</v>
      </c>
      <c r="F79" s="33">
        <v>0</v>
      </c>
      <c r="G79" s="33">
        <v>10585</v>
      </c>
      <c r="H79" s="33">
        <v>20803</v>
      </c>
      <c r="I79" s="33">
        <v>4333</v>
      </c>
      <c r="J79" s="33">
        <v>0</v>
      </c>
      <c r="K79" s="33">
        <v>9327</v>
      </c>
      <c r="L79" s="33">
        <v>13660</v>
      </c>
      <c r="M79" s="33">
        <v>5885</v>
      </c>
      <c r="N79" s="33">
        <v>0</v>
      </c>
      <c r="O79" s="33">
        <v>1258</v>
      </c>
      <c r="P79" s="33">
        <v>7143</v>
      </c>
      <c r="Q79" s="33">
        <v>6580</v>
      </c>
      <c r="R79" s="33">
        <v>678</v>
      </c>
      <c r="S79" s="56">
        <v>0.4240555881777256</v>
      </c>
      <c r="T79" s="56">
        <v>0.54545454545454541</v>
      </c>
      <c r="U79" s="56">
        <v>0.656636062106427</v>
      </c>
      <c r="V79" s="10"/>
      <c r="Z79" s="10"/>
    </row>
    <row r="80" spans="2:26" x14ac:dyDescent="0.15">
      <c r="B80" s="32" t="s">
        <v>537</v>
      </c>
      <c r="C80" s="51" t="s">
        <v>869</v>
      </c>
      <c r="D80" s="51" t="s">
        <v>538</v>
      </c>
      <c r="E80" s="33">
        <v>19869</v>
      </c>
      <c r="F80" s="33">
        <v>729</v>
      </c>
      <c r="G80" s="33">
        <v>10824</v>
      </c>
      <c r="H80" s="33">
        <v>31422</v>
      </c>
      <c r="I80" s="33">
        <v>12276</v>
      </c>
      <c r="J80" s="33">
        <v>729</v>
      </c>
      <c r="K80" s="33">
        <v>10779</v>
      </c>
      <c r="L80" s="33">
        <v>23784</v>
      </c>
      <c r="M80" s="33">
        <v>7593</v>
      </c>
      <c r="N80" s="33">
        <v>0</v>
      </c>
      <c r="O80" s="33">
        <v>45</v>
      </c>
      <c r="P80" s="33">
        <v>7638</v>
      </c>
      <c r="Q80" s="33">
        <v>0</v>
      </c>
      <c r="R80" s="33">
        <v>0</v>
      </c>
      <c r="S80" s="56">
        <v>0.61784689717650609</v>
      </c>
      <c r="T80" s="56">
        <v>0.75692190185220543</v>
      </c>
      <c r="U80" s="56">
        <v>0.75692190185220543</v>
      </c>
      <c r="V80" s="10"/>
      <c r="Z80" s="10"/>
    </row>
    <row r="81" spans="2:26" x14ac:dyDescent="0.15">
      <c r="B81" s="32" t="s">
        <v>541</v>
      </c>
      <c r="C81" s="51" t="s">
        <v>869</v>
      </c>
      <c r="D81" s="51" t="s">
        <v>542</v>
      </c>
      <c r="E81" s="33">
        <v>17233</v>
      </c>
      <c r="F81" s="33">
        <v>139</v>
      </c>
      <c r="G81" s="33">
        <v>6757</v>
      </c>
      <c r="H81" s="33">
        <v>24129</v>
      </c>
      <c r="I81" s="33">
        <v>10193</v>
      </c>
      <c r="J81" s="33">
        <v>139</v>
      </c>
      <c r="K81" s="33">
        <v>6579</v>
      </c>
      <c r="L81" s="33">
        <v>16911</v>
      </c>
      <c r="M81" s="33">
        <v>7040</v>
      </c>
      <c r="N81" s="33">
        <v>0</v>
      </c>
      <c r="O81" s="33">
        <v>178</v>
      </c>
      <c r="P81" s="33">
        <v>7218</v>
      </c>
      <c r="Q81" s="33">
        <v>0</v>
      </c>
      <c r="R81" s="33">
        <v>0</v>
      </c>
      <c r="S81" s="56">
        <v>0.59148145998955493</v>
      </c>
      <c r="T81" s="56">
        <v>0.70085788884744493</v>
      </c>
      <c r="U81" s="56">
        <v>0.70085788884744493</v>
      </c>
      <c r="V81" s="10"/>
      <c r="Z81" s="10"/>
    </row>
    <row r="82" spans="2:26" x14ac:dyDescent="0.15">
      <c r="B82" s="32" t="s">
        <v>446</v>
      </c>
      <c r="C82" s="51" t="s">
        <v>869</v>
      </c>
      <c r="D82" s="51" t="s">
        <v>447</v>
      </c>
      <c r="E82" s="33">
        <v>9184</v>
      </c>
      <c r="F82" s="33">
        <v>0</v>
      </c>
      <c r="G82" s="33">
        <v>3507</v>
      </c>
      <c r="H82" s="33">
        <v>12691</v>
      </c>
      <c r="I82" s="33">
        <v>4747</v>
      </c>
      <c r="J82" s="33">
        <v>0</v>
      </c>
      <c r="K82" s="33">
        <v>3358</v>
      </c>
      <c r="L82" s="33">
        <v>8105</v>
      </c>
      <c r="M82" s="33">
        <v>4437</v>
      </c>
      <c r="N82" s="33">
        <v>0</v>
      </c>
      <c r="O82" s="33">
        <v>149</v>
      </c>
      <c r="P82" s="33">
        <v>4586</v>
      </c>
      <c r="Q82" s="33">
        <v>492</v>
      </c>
      <c r="R82" s="33">
        <v>0</v>
      </c>
      <c r="S82" s="56">
        <v>0.51687717770034847</v>
      </c>
      <c r="T82" s="56">
        <v>0.62406754652020657</v>
      </c>
      <c r="U82" s="56">
        <v>0.6386415570089039</v>
      </c>
      <c r="V82" s="10"/>
      <c r="Z82" s="10"/>
    </row>
    <row r="83" spans="2:26" x14ac:dyDescent="0.15">
      <c r="B83" s="32" t="s">
        <v>450</v>
      </c>
      <c r="C83" s="51" t="s">
        <v>869</v>
      </c>
      <c r="D83" s="51" t="s">
        <v>733</v>
      </c>
      <c r="E83" s="33">
        <v>5103</v>
      </c>
      <c r="F83" s="33">
        <v>0</v>
      </c>
      <c r="G83" s="33">
        <v>11239</v>
      </c>
      <c r="H83" s="33">
        <v>16342</v>
      </c>
      <c r="I83" s="33">
        <v>2048</v>
      </c>
      <c r="J83" s="33">
        <v>0</v>
      </c>
      <c r="K83" s="33">
        <v>11191</v>
      </c>
      <c r="L83" s="33">
        <v>13239</v>
      </c>
      <c r="M83" s="33">
        <v>3055</v>
      </c>
      <c r="N83" s="33">
        <v>0</v>
      </c>
      <c r="O83" s="33">
        <v>48</v>
      </c>
      <c r="P83" s="33">
        <v>3103</v>
      </c>
      <c r="Q83" s="33">
        <v>0</v>
      </c>
      <c r="R83" s="33">
        <v>0</v>
      </c>
      <c r="S83" s="56">
        <v>0.40133254948069763</v>
      </c>
      <c r="T83" s="56">
        <v>0.81012116020070979</v>
      </c>
      <c r="U83" s="56">
        <v>0.81012116020070979</v>
      </c>
      <c r="V83" s="10"/>
      <c r="Z83" s="10"/>
    </row>
    <row r="84" spans="2:26" x14ac:dyDescent="0.15">
      <c r="B84" s="32" t="s">
        <v>514</v>
      </c>
      <c r="C84" s="51" t="s">
        <v>869</v>
      </c>
      <c r="D84" s="51" t="s">
        <v>734</v>
      </c>
      <c r="E84" s="33">
        <v>10716</v>
      </c>
      <c r="F84" s="33">
        <v>0</v>
      </c>
      <c r="G84" s="33">
        <v>8366</v>
      </c>
      <c r="H84" s="33">
        <v>19082</v>
      </c>
      <c r="I84" s="33">
        <v>5443</v>
      </c>
      <c r="J84" s="33">
        <v>0</v>
      </c>
      <c r="K84" s="33">
        <v>8244</v>
      </c>
      <c r="L84" s="33">
        <v>13687</v>
      </c>
      <c r="M84" s="33">
        <v>5273</v>
      </c>
      <c r="N84" s="33">
        <v>0</v>
      </c>
      <c r="O84" s="33">
        <v>122</v>
      </c>
      <c r="P84" s="33">
        <v>5395</v>
      </c>
      <c r="Q84" s="33">
        <v>1652</v>
      </c>
      <c r="R84" s="33">
        <v>42</v>
      </c>
      <c r="S84" s="56">
        <v>0.50793206420306081</v>
      </c>
      <c r="T84" s="56">
        <v>0.6928858290304073</v>
      </c>
      <c r="U84" s="56">
        <v>0.71727282255528768</v>
      </c>
      <c r="V84" s="10"/>
      <c r="Z84" s="10"/>
    </row>
    <row r="85" spans="2:26" x14ac:dyDescent="0.15">
      <c r="B85" s="32" t="s">
        <v>451</v>
      </c>
      <c r="C85" s="51" t="s">
        <v>869</v>
      </c>
      <c r="D85" s="51" t="s">
        <v>452</v>
      </c>
      <c r="E85" s="33">
        <v>10939</v>
      </c>
      <c r="F85" s="33">
        <v>0</v>
      </c>
      <c r="G85" s="33">
        <v>14435</v>
      </c>
      <c r="H85" s="33">
        <v>25374</v>
      </c>
      <c r="I85" s="33">
        <v>8595</v>
      </c>
      <c r="J85" s="33">
        <v>0</v>
      </c>
      <c r="K85" s="33">
        <v>14435</v>
      </c>
      <c r="L85" s="33">
        <v>23030</v>
      </c>
      <c r="M85" s="33">
        <v>2344</v>
      </c>
      <c r="N85" s="33">
        <v>0</v>
      </c>
      <c r="O85" s="33">
        <v>0</v>
      </c>
      <c r="P85" s="33">
        <v>2344</v>
      </c>
      <c r="Q85" s="33">
        <v>0</v>
      </c>
      <c r="R85" s="33">
        <v>0</v>
      </c>
      <c r="S85" s="56">
        <v>0.78572081543102656</v>
      </c>
      <c r="T85" s="56">
        <v>0.90762197525025612</v>
      </c>
      <c r="U85" s="56">
        <v>0.90762197525025612</v>
      </c>
      <c r="V85" s="10"/>
      <c r="Z85" s="10"/>
    </row>
    <row r="86" spans="2:26" x14ac:dyDescent="0.15">
      <c r="B86" s="32" t="s">
        <v>524</v>
      </c>
      <c r="C86" s="51" t="s">
        <v>869</v>
      </c>
      <c r="D86" s="51" t="s">
        <v>735</v>
      </c>
      <c r="E86" s="33">
        <v>4643</v>
      </c>
      <c r="F86" s="33">
        <v>0</v>
      </c>
      <c r="G86" s="33">
        <v>364</v>
      </c>
      <c r="H86" s="33">
        <v>5007</v>
      </c>
      <c r="I86" s="33">
        <v>4160</v>
      </c>
      <c r="J86" s="33">
        <v>0</v>
      </c>
      <c r="K86" s="33">
        <v>361</v>
      </c>
      <c r="L86" s="33">
        <v>4521</v>
      </c>
      <c r="M86" s="33">
        <v>483</v>
      </c>
      <c r="N86" s="33">
        <v>0</v>
      </c>
      <c r="O86" s="33">
        <v>3</v>
      </c>
      <c r="P86" s="33">
        <v>486</v>
      </c>
      <c r="Q86" s="33">
        <v>0</v>
      </c>
      <c r="R86" s="33">
        <v>0</v>
      </c>
      <c r="S86" s="56">
        <v>0.89597243161748874</v>
      </c>
      <c r="T86" s="56">
        <v>0.90293588975434391</v>
      </c>
      <c r="U86" s="56">
        <v>0.90293588975434391</v>
      </c>
      <c r="V86" s="10"/>
      <c r="Z86" s="10"/>
    </row>
    <row r="87" spans="2:26" x14ac:dyDescent="0.15">
      <c r="B87" s="32" t="s">
        <v>525</v>
      </c>
      <c r="C87" s="51" t="s">
        <v>869</v>
      </c>
      <c r="D87" s="51" t="s">
        <v>526</v>
      </c>
      <c r="E87" s="33">
        <v>9334</v>
      </c>
      <c r="F87" s="33">
        <v>1395</v>
      </c>
      <c r="G87" s="33">
        <v>8121</v>
      </c>
      <c r="H87" s="33">
        <v>18850</v>
      </c>
      <c r="I87" s="33">
        <v>4463</v>
      </c>
      <c r="J87" s="33">
        <v>1329</v>
      </c>
      <c r="K87" s="33">
        <v>7757</v>
      </c>
      <c r="L87" s="33">
        <v>13549</v>
      </c>
      <c r="M87" s="33">
        <v>4871</v>
      </c>
      <c r="N87" s="33">
        <v>66</v>
      </c>
      <c r="O87" s="33">
        <v>364</v>
      </c>
      <c r="P87" s="33">
        <v>5301</v>
      </c>
      <c r="Q87" s="33">
        <v>0</v>
      </c>
      <c r="R87" s="33">
        <v>0</v>
      </c>
      <c r="S87" s="56">
        <v>0.47814441825583887</v>
      </c>
      <c r="T87" s="56">
        <v>0.71877984084880642</v>
      </c>
      <c r="U87" s="56">
        <v>0.71877984084880642</v>
      </c>
      <c r="V87" s="10"/>
      <c r="Z87" s="10"/>
    </row>
    <row r="88" spans="2:26" x14ac:dyDescent="0.15">
      <c r="B88" s="32" t="s">
        <v>453</v>
      </c>
      <c r="C88" s="51" t="s">
        <v>869</v>
      </c>
      <c r="D88" s="51" t="s">
        <v>454</v>
      </c>
      <c r="E88" s="33">
        <v>7575</v>
      </c>
      <c r="F88" s="33">
        <v>0</v>
      </c>
      <c r="G88" s="33">
        <v>11938</v>
      </c>
      <c r="H88" s="33">
        <v>19513</v>
      </c>
      <c r="I88" s="33">
        <v>3623</v>
      </c>
      <c r="J88" s="33">
        <v>0</v>
      </c>
      <c r="K88" s="33">
        <v>11572</v>
      </c>
      <c r="L88" s="33">
        <v>15195</v>
      </c>
      <c r="M88" s="33">
        <v>3952</v>
      </c>
      <c r="N88" s="33">
        <v>0</v>
      </c>
      <c r="O88" s="33">
        <v>366</v>
      </c>
      <c r="P88" s="33">
        <v>4318</v>
      </c>
      <c r="Q88" s="33">
        <v>566</v>
      </c>
      <c r="R88" s="33">
        <v>5</v>
      </c>
      <c r="S88" s="56">
        <v>0.47828382838283828</v>
      </c>
      <c r="T88" s="56">
        <v>0.77236501820868741</v>
      </c>
      <c r="U88" s="56">
        <v>0.77871162814533901</v>
      </c>
      <c r="V88" s="10"/>
      <c r="Z88" s="10"/>
    </row>
    <row r="89" spans="2:26" x14ac:dyDescent="0.15">
      <c r="B89" s="32" t="s">
        <v>455</v>
      </c>
      <c r="C89" s="51" t="s">
        <v>869</v>
      </c>
      <c r="D89" s="51" t="s">
        <v>456</v>
      </c>
      <c r="E89" s="33">
        <v>12593</v>
      </c>
      <c r="F89" s="33">
        <v>1465</v>
      </c>
      <c r="G89" s="33">
        <v>7491</v>
      </c>
      <c r="H89" s="33">
        <v>21549</v>
      </c>
      <c r="I89" s="33">
        <v>7475</v>
      </c>
      <c r="J89" s="33">
        <v>1424</v>
      </c>
      <c r="K89" s="33">
        <v>7201</v>
      </c>
      <c r="L89" s="33">
        <v>16100</v>
      </c>
      <c r="M89" s="33">
        <v>5118</v>
      </c>
      <c r="N89" s="33">
        <v>41</v>
      </c>
      <c r="O89" s="33">
        <v>290</v>
      </c>
      <c r="P89" s="33">
        <v>5449</v>
      </c>
      <c r="Q89" s="33">
        <v>0</v>
      </c>
      <c r="R89" s="33">
        <v>0</v>
      </c>
      <c r="S89" s="56">
        <v>0.59358373699674427</v>
      </c>
      <c r="T89" s="56">
        <v>0.74713443779293698</v>
      </c>
      <c r="U89" s="56">
        <v>0.74713443779293698</v>
      </c>
      <c r="V89" s="10"/>
      <c r="Z89" s="10"/>
    </row>
    <row r="90" spans="2:26" x14ac:dyDescent="0.15">
      <c r="B90" s="32" t="s">
        <v>459</v>
      </c>
      <c r="C90" s="51" t="s">
        <v>869</v>
      </c>
      <c r="D90" s="51" t="s">
        <v>460</v>
      </c>
      <c r="E90" s="33">
        <v>12694</v>
      </c>
      <c r="F90" s="33">
        <v>1862</v>
      </c>
      <c r="G90" s="33">
        <v>10291</v>
      </c>
      <c r="H90" s="33">
        <v>24847</v>
      </c>
      <c r="I90" s="33">
        <v>7125</v>
      </c>
      <c r="J90" s="33">
        <v>1759</v>
      </c>
      <c r="K90" s="33">
        <v>10052</v>
      </c>
      <c r="L90" s="33">
        <v>18936</v>
      </c>
      <c r="M90" s="33">
        <v>5569</v>
      </c>
      <c r="N90" s="33">
        <v>103</v>
      </c>
      <c r="O90" s="33">
        <v>239</v>
      </c>
      <c r="P90" s="33">
        <v>5911</v>
      </c>
      <c r="Q90" s="33">
        <v>0</v>
      </c>
      <c r="R90" s="33">
        <v>0</v>
      </c>
      <c r="S90" s="56">
        <v>0.56128879785725538</v>
      </c>
      <c r="T90" s="56">
        <v>0.76210407695093974</v>
      </c>
      <c r="U90" s="56">
        <v>0.76210407695093974</v>
      </c>
      <c r="V90" s="10"/>
      <c r="Z90" s="10"/>
    </row>
    <row r="91" spans="2:26" x14ac:dyDescent="0.15">
      <c r="B91" s="32" t="s">
        <v>527</v>
      </c>
      <c r="C91" s="51" t="s">
        <v>869</v>
      </c>
      <c r="D91" s="51" t="s">
        <v>528</v>
      </c>
      <c r="E91" s="33">
        <v>10045</v>
      </c>
      <c r="F91" s="33">
        <v>0</v>
      </c>
      <c r="G91" s="33">
        <v>0</v>
      </c>
      <c r="H91" s="33">
        <v>10045</v>
      </c>
      <c r="I91" s="33">
        <v>6949</v>
      </c>
      <c r="J91" s="33">
        <v>0</v>
      </c>
      <c r="K91" s="33">
        <v>0</v>
      </c>
      <c r="L91" s="33">
        <v>6949</v>
      </c>
      <c r="M91" s="33">
        <v>3096</v>
      </c>
      <c r="N91" s="33">
        <v>0</v>
      </c>
      <c r="O91" s="33">
        <v>0</v>
      </c>
      <c r="P91" s="33">
        <v>3096</v>
      </c>
      <c r="Q91" s="33">
        <v>0</v>
      </c>
      <c r="R91" s="33">
        <v>0</v>
      </c>
      <c r="S91" s="56">
        <v>0.69178695868591344</v>
      </c>
      <c r="T91" s="56">
        <v>0.69178695868591344</v>
      </c>
      <c r="U91" s="56">
        <v>0.69178695868591344</v>
      </c>
      <c r="V91" s="10"/>
      <c r="Z91" s="10"/>
    </row>
    <row r="92" spans="2:26" x14ac:dyDescent="0.15">
      <c r="B92" s="32" t="s">
        <v>519</v>
      </c>
      <c r="C92" s="51" t="s">
        <v>869</v>
      </c>
      <c r="D92" s="51" t="s">
        <v>520</v>
      </c>
      <c r="E92" s="33">
        <v>12536</v>
      </c>
      <c r="F92" s="33">
        <v>34</v>
      </c>
      <c r="G92" s="33">
        <v>7803</v>
      </c>
      <c r="H92" s="33">
        <v>20373</v>
      </c>
      <c r="I92" s="33">
        <v>6049</v>
      </c>
      <c r="J92" s="33">
        <v>34</v>
      </c>
      <c r="K92" s="33">
        <v>7202</v>
      </c>
      <c r="L92" s="33">
        <v>13285</v>
      </c>
      <c r="M92" s="33">
        <v>6487</v>
      </c>
      <c r="N92" s="33">
        <v>0</v>
      </c>
      <c r="O92" s="33">
        <v>601</v>
      </c>
      <c r="P92" s="33">
        <v>7088</v>
      </c>
      <c r="Q92" s="33">
        <v>2044</v>
      </c>
      <c r="R92" s="33">
        <v>87</v>
      </c>
      <c r="S92" s="56">
        <v>0.48253031269942565</v>
      </c>
      <c r="T92" s="56">
        <v>0.61803699056140537</v>
      </c>
      <c r="U92" s="56">
        <v>0.65208854856918474</v>
      </c>
      <c r="V92" s="10"/>
      <c r="Z92" s="10"/>
    </row>
    <row r="93" spans="2:26" x14ac:dyDescent="0.15">
      <c r="B93" s="32" t="s">
        <v>416</v>
      </c>
      <c r="C93" s="51" t="s">
        <v>873</v>
      </c>
      <c r="D93" s="51" t="s">
        <v>736</v>
      </c>
      <c r="E93" s="33">
        <v>6240</v>
      </c>
      <c r="F93" s="33">
        <v>0</v>
      </c>
      <c r="G93" s="33">
        <v>5418.3816371681414</v>
      </c>
      <c r="H93" s="33">
        <v>11658.381637168142</v>
      </c>
      <c r="I93" s="33">
        <v>5359</v>
      </c>
      <c r="J93" s="33">
        <v>0</v>
      </c>
      <c r="K93" s="33">
        <v>5308.2473451327432</v>
      </c>
      <c r="L93" s="33">
        <v>10667.247345132744</v>
      </c>
      <c r="M93" s="33">
        <v>881</v>
      </c>
      <c r="N93" s="33">
        <v>0</v>
      </c>
      <c r="O93" s="33">
        <v>110.13429203539822</v>
      </c>
      <c r="P93" s="33">
        <v>991.13429203539818</v>
      </c>
      <c r="Q93" s="33">
        <v>5418.3816371681423</v>
      </c>
      <c r="R93" s="33">
        <v>110.13429203539818</v>
      </c>
      <c r="S93" s="56">
        <v>0.85881410256410251</v>
      </c>
      <c r="T93" s="56">
        <v>0.85881410256410251</v>
      </c>
      <c r="U93" s="56">
        <v>0.91498525928542618</v>
      </c>
      <c r="V93" s="10"/>
      <c r="Z93" s="10"/>
    </row>
    <row r="94" spans="2:26" x14ac:dyDescent="0.15">
      <c r="B94" s="32" t="s">
        <v>485</v>
      </c>
      <c r="C94" s="51" t="s">
        <v>873</v>
      </c>
      <c r="D94" s="51" t="s">
        <v>486</v>
      </c>
      <c r="E94" s="33">
        <v>9133</v>
      </c>
      <c r="F94" s="33">
        <v>0</v>
      </c>
      <c r="G94" s="33">
        <v>10139</v>
      </c>
      <c r="H94" s="33">
        <v>19272</v>
      </c>
      <c r="I94" s="33">
        <v>4619</v>
      </c>
      <c r="J94" s="33">
        <v>0</v>
      </c>
      <c r="K94" s="33">
        <v>10023</v>
      </c>
      <c r="L94" s="33">
        <v>14642</v>
      </c>
      <c r="M94" s="33">
        <v>4514</v>
      </c>
      <c r="N94" s="33">
        <v>0</v>
      </c>
      <c r="O94" s="33">
        <v>116</v>
      </c>
      <c r="P94" s="33">
        <v>4630</v>
      </c>
      <c r="Q94" s="33">
        <v>0</v>
      </c>
      <c r="R94" s="33">
        <v>0</v>
      </c>
      <c r="S94" s="56">
        <v>0.50574838497755392</v>
      </c>
      <c r="T94" s="56">
        <v>0.75975508509755085</v>
      </c>
      <c r="U94" s="56">
        <v>0.75975508509755085</v>
      </c>
      <c r="V94" s="10"/>
      <c r="Z94" s="10"/>
    </row>
    <row r="95" spans="2:26" x14ac:dyDescent="0.15">
      <c r="B95" s="32" t="s">
        <v>463</v>
      </c>
      <c r="C95" s="51" t="s">
        <v>873</v>
      </c>
      <c r="D95" s="51" t="s">
        <v>464</v>
      </c>
      <c r="E95" s="33">
        <v>8873</v>
      </c>
      <c r="F95" s="33">
        <v>0</v>
      </c>
      <c r="G95" s="33">
        <v>3726</v>
      </c>
      <c r="H95" s="33">
        <v>12599</v>
      </c>
      <c r="I95" s="33">
        <v>4554</v>
      </c>
      <c r="J95" s="33">
        <v>0</v>
      </c>
      <c r="K95" s="33">
        <v>3426</v>
      </c>
      <c r="L95" s="33">
        <v>7980</v>
      </c>
      <c r="M95" s="33">
        <v>4319</v>
      </c>
      <c r="N95" s="33">
        <v>0</v>
      </c>
      <c r="O95" s="33">
        <v>300</v>
      </c>
      <c r="P95" s="33">
        <v>4619</v>
      </c>
      <c r="Q95" s="33">
        <v>0</v>
      </c>
      <c r="R95" s="33">
        <v>0</v>
      </c>
      <c r="S95" s="56">
        <v>0.51324242082722871</v>
      </c>
      <c r="T95" s="56">
        <v>0.63338360187316456</v>
      </c>
      <c r="U95" s="56">
        <v>0.63338360187316456</v>
      </c>
      <c r="V95" s="10"/>
      <c r="Z95" s="10"/>
    </row>
    <row r="96" spans="2:26" x14ac:dyDescent="0.15">
      <c r="B96" s="32" t="s">
        <v>417</v>
      </c>
      <c r="C96" s="51" t="s">
        <v>873</v>
      </c>
      <c r="D96" s="51" t="s">
        <v>737</v>
      </c>
      <c r="E96" s="33">
        <v>5968</v>
      </c>
      <c r="F96" s="33">
        <v>0</v>
      </c>
      <c r="G96" s="33">
        <v>2708</v>
      </c>
      <c r="H96" s="33">
        <v>8676</v>
      </c>
      <c r="I96" s="33">
        <v>3004</v>
      </c>
      <c r="J96" s="33">
        <v>0</v>
      </c>
      <c r="K96" s="33">
        <v>2362</v>
      </c>
      <c r="L96" s="33">
        <v>5366</v>
      </c>
      <c r="M96" s="33">
        <v>2964</v>
      </c>
      <c r="N96" s="33">
        <v>0</v>
      </c>
      <c r="O96" s="33">
        <v>346</v>
      </c>
      <c r="P96" s="33">
        <v>3310</v>
      </c>
      <c r="Q96" s="33">
        <v>0</v>
      </c>
      <c r="R96" s="33">
        <v>0</v>
      </c>
      <c r="S96" s="56">
        <v>0.5033512064343163</v>
      </c>
      <c r="T96" s="56">
        <v>0.61848778238819735</v>
      </c>
      <c r="U96" s="56">
        <v>0.61848778238819735</v>
      </c>
      <c r="V96" s="10"/>
      <c r="Z96" s="10"/>
    </row>
    <row r="97" spans="2:26" x14ac:dyDescent="0.15">
      <c r="B97" s="32" t="s">
        <v>418</v>
      </c>
      <c r="C97" s="51" t="s">
        <v>873</v>
      </c>
      <c r="D97" s="51" t="s">
        <v>419</v>
      </c>
      <c r="E97" s="33">
        <v>4753</v>
      </c>
      <c r="F97" s="33">
        <v>0</v>
      </c>
      <c r="G97" s="33">
        <v>58</v>
      </c>
      <c r="H97" s="33">
        <v>4811</v>
      </c>
      <c r="I97" s="33">
        <v>2340</v>
      </c>
      <c r="J97" s="33">
        <v>0</v>
      </c>
      <c r="K97" s="33">
        <v>58</v>
      </c>
      <c r="L97" s="33">
        <v>2398</v>
      </c>
      <c r="M97" s="33">
        <v>2413</v>
      </c>
      <c r="N97" s="33">
        <v>0</v>
      </c>
      <c r="O97" s="33">
        <v>0</v>
      </c>
      <c r="P97" s="33">
        <v>2413</v>
      </c>
      <c r="Q97" s="33">
        <v>0</v>
      </c>
      <c r="R97" s="33">
        <v>0</v>
      </c>
      <c r="S97" s="56">
        <v>0.49232063959604461</v>
      </c>
      <c r="T97" s="56">
        <v>0.49844107254209102</v>
      </c>
      <c r="U97" s="56">
        <v>0.49844107254209102</v>
      </c>
      <c r="V97" s="10"/>
      <c r="Z97" s="10"/>
    </row>
    <row r="98" spans="2:26" x14ac:dyDescent="0.15">
      <c r="B98" s="32" t="s">
        <v>487</v>
      </c>
      <c r="C98" s="51" t="s">
        <v>873</v>
      </c>
      <c r="D98" s="51" t="s">
        <v>488</v>
      </c>
      <c r="E98" s="33">
        <v>13927</v>
      </c>
      <c r="F98" s="33">
        <v>0</v>
      </c>
      <c r="G98" s="33">
        <v>11315</v>
      </c>
      <c r="H98" s="33">
        <v>25242</v>
      </c>
      <c r="I98" s="33">
        <v>8708</v>
      </c>
      <c r="J98" s="33">
        <v>0</v>
      </c>
      <c r="K98" s="33">
        <v>10380</v>
      </c>
      <c r="L98" s="33">
        <v>19088</v>
      </c>
      <c r="M98" s="33">
        <v>5219</v>
      </c>
      <c r="N98" s="33">
        <v>0</v>
      </c>
      <c r="O98" s="33">
        <v>935</v>
      </c>
      <c r="P98" s="33">
        <v>6154</v>
      </c>
      <c r="Q98" s="33">
        <v>0</v>
      </c>
      <c r="R98" s="33">
        <v>0</v>
      </c>
      <c r="S98" s="56">
        <v>0.62526028577583115</v>
      </c>
      <c r="T98" s="56">
        <v>0.75619998415339518</v>
      </c>
      <c r="U98" s="56">
        <v>0.75619998415339518</v>
      </c>
      <c r="V98" s="10"/>
      <c r="Z98" s="10"/>
    </row>
    <row r="99" spans="2:26" x14ac:dyDescent="0.15">
      <c r="B99" s="32" t="s">
        <v>489</v>
      </c>
      <c r="C99" s="51" t="s">
        <v>873</v>
      </c>
      <c r="D99" s="51" t="s">
        <v>490</v>
      </c>
      <c r="E99" s="33">
        <v>13030</v>
      </c>
      <c r="F99" s="33">
        <v>0</v>
      </c>
      <c r="G99" s="33">
        <v>3385</v>
      </c>
      <c r="H99" s="33">
        <v>16415</v>
      </c>
      <c r="I99" s="33">
        <v>8827</v>
      </c>
      <c r="J99" s="33">
        <v>0</v>
      </c>
      <c r="K99" s="33">
        <v>3148</v>
      </c>
      <c r="L99" s="33">
        <v>11975</v>
      </c>
      <c r="M99" s="33">
        <v>4203</v>
      </c>
      <c r="N99" s="33">
        <v>0</v>
      </c>
      <c r="O99" s="33">
        <v>237</v>
      </c>
      <c r="P99" s="33">
        <v>4440</v>
      </c>
      <c r="Q99" s="33">
        <v>0</v>
      </c>
      <c r="R99" s="33">
        <v>0</v>
      </c>
      <c r="S99" s="56">
        <v>0.67743668457405981</v>
      </c>
      <c r="T99" s="56">
        <v>0.7295156868717636</v>
      </c>
      <c r="U99" s="56">
        <v>0.7295156868717636</v>
      </c>
      <c r="V99" s="10"/>
      <c r="Z99" s="10"/>
    </row>
    <row r="100" spans="2:26" x14ac:dyDescent="0.15">
      <c r="B100" s="32" t="s">
        <v>429</v>
      </c>
      <c r="C100" s="51" t="s">
        <v>873</v>
      </c>
      <c r="D100" s="51" t="s">
        <v>430</v>
      </c>
      <c r="E100" s="33">
        <v>17475</v>
      </c>
      <c r="F100" s="33">
        <v>1989</v>
      </c>
      <c r="G100" s="33">
        <v>14194.930438053098</v>
      </c>
      <c r="H100" s="33">
        <v>33658.930438053096</v>
      </c>
      <c r="I100" s="33">
        <v>8384</v>
      </c>
      <c r="J100" s="33">
        <v>1974</v>
      </c>
      <c r="K100" s="33">
        <v>13801.016624778762</v>
      </c>
      <c r="L100" s="33">
        <v>24159.01662477876</v>
      </c>
      <c r="M100" s="33">
        <v>9091</v>
      </c>
      <c r="N100" s="33">
        <v>15</v>
      </c>
      <c r="O100" s="33">
        <v>393.91381327433629</v>
      </c>
      <c r="P100" s="33">
        <v>9499.9138132743356</v>
      </c>
      <c r="Q100" s="33">
        <v>5505.9304380530957</v>
      </c>
      <c r="R100" s="33">
        <v>111.91381327433555</v>
      </c>
      <c r="S100" s="56">
        <v>0.47977110157367669</v>
      </c>
      <c r="T100" s="56">
        <v>0.66653642595815721</v>
      </c>
      <c r="U100" s="56">
        <v>0.71775948642342446</v>
      </c>
      <c r="V100" s="10"/>
      <c r="Z100" s="10"/>
    </row>
    <row r="101" spans="2:26" x14ac:dyDescent="0.15">
      <c r="B101" s="32" t="s">
        <v>423</v>
      </c>
      <c r="C101" s="51" t="s">
        <v>873</v>
      </c>
      <c r="D101" s="51" t="s">
        <v>738</v>
      </c>
      <c r="E101" s="33">
        <v>0</v>
      </c>
      <c r="F101" s="33">
        <v>1654</v>
      </c>
      <c r="G101" s="33">
        <v>0</v>
      </c>
      <c r="H101" s="33">
        <v>1654</v>
      </c>
      <c r="I101" s="33">
        <v>0</v>
      </c>
      <c r="J101" s="33">
        <v>1466</v>
      </c>
      <c r="K101" s="33">
        <v>0</v>
      </c>
      <c r="L101" s="33">
        <v>1466</v>
      </c>
      <c r="M101" s="33">
        <v>0</v>
      </c>
      <c r="N101" s="33">
        <v>188</v>
      </c>
      <c r="O101" s="33">
        <v>0</v>
      </c>
      <c r="P101" s="33">
        <v>188</v>
      </c>
      <c r="Q101" s="33">
        <v>0</v>
      </c>
      <c r="R101" s="33">
        <v>0</v>
      </c>
      <c r="S101" s="56" t="s">
        <v>41</v>
      </c>
      <c r="T101" s="56">
        <v>0.8863361547762999</v>
      </c>
      <c r="U101" s="56">
        <v>0.8863361547762999</v>
      </c>
      <c r="V101" s="10"/>
      <c r="Z101" s="10"/>
    </row>
    <row r="102" spans="2:26" x14ac:dyDescent="0.15">
      <c r="B102" s="32" t="s">
        <v>469</v>
      </c>
      <c r="C102" s="51" t="s">
        <v>873</v>
      </c>
      <c r="D102" s="51" t="s">
        <v>470</v>
      </c>
      <c r="E102" s="33">
        <v>31246</v>
      </c>
      <c r="F102" s="33">
        <v>3914</v>
      </c>
      <c r="G102" s="33">
        <v>12346</v>
      </c>
      <c r="H102" s="33">
        <v>47506</v>
      </c>
      <c r="I102" s="33">
        <v>18513</v>
      </c>
      <c r="J102" s="33">
        <v>3566</v>
      </c>
      <c r="K102" s="33">
        <v>11967</v>
      </c>
      <c r="L102" s="33">
        <v>34046</v>
      </c>
      <c r="M102" s="33">
        <v>12733</v>
      </c>
      <c r="N102" s="33">
        <v>348</v>
      </c>
      <c r="O102" s="33">
        <v>379</v>
      </c>
      <c r="P102" s="33">
        <v>13460</v>
      </c>
      <c r="Q102" s="33">
        <v>0</v>
      </c>
      <c r="R102" s="33">
        <v>0</v>
      </c>
      <c r="S102" s="56">
        <v>0.59249183895538626</v>
      </c>
      <c r="T102" s="56">
        <v>0.71666736833242117</v>
      </c>
      <c r="U102" s="56">
        <v>0.71666736833242117</v>
      </c>
      <c r="V102" s="10"/>
      <c r="Z102" s="10"/>
    </row>
    <row r="103" spans="2:26" x14ac:dyDescent="0.15">
      <c r="B103" s="32" t="s">
        <v>426</v>
      </c>
      <c r="C103" s="51" t="s">
        <v>873</v>
      </c>
      <c r="D103" s="51" t="s">
        <v>427</v>
      </c>
      <c r="E103" s="33">
        <v>7353</v>
      </c>
      <c r="F103" s="33">
        <v>0</v>
      </c>
      <c r="G103" s="33">
        <v>3319</v>
      </c>
      <c r="H103" s="33">
        <v>10672</v>
      </c>
      <c r="I103" s="33">
        <v>3657</v>
      </c>
      <c r="J103" s="33">
        <v>0</v>
      </c>
      <c r="K103" s="33">
        <v>3297</v>
      </c>
      <c r="L103" s="33">
        <v>6954</v>
      </c>
      <c r="M103" s="33">
        <v>3696</v>
      </c>
      <c r="N103" s="33">
        <v>0</v>
      </c>
      <c r="O103" s="33">
        <v>22</v>
      </c>
      <c r="P103" s="33">
        <v>3718</v>
      </c>
      <c r="Q103" s="33">
        <v>0</v>
      </c>
      <c r="R103" s="33">
        <v>0</v>
      </c>
      <c r="S103" s="56">
        <v>0.49734802121583027</v>
      </c>
      <c r="T103" s="56">
        <v>0.65161169415292353</v>
      </c>
      <c r="U103" s="56">
        <v>0.65161169415292353</v>
      </c>
      <c r="V103" s="10"/>
      <c r="Z103" s="10"/>
    </row>
    <row r="104" spans="2:26" x14ac:dyDescent="0.15">
      <c r="B104" s="32" t="s">
        <v>475</v>
      </c>
      <c r="C104" s="32" t="s">
        <v>873</v>
      </c>
      <c r="D104" s="32" t="s">
        <v>739</v>
      </c>
      <c r="E104" s="33">
        <v>27197</v>
      </c>
      <c r="F104" s="33">
        <v>0</v>
      </c>
      <c r="G104" s="33">
        <v>10061</v>
      </c>
      <c r="H104" s="33">
        <v>37258</v>
      </c>
      <c r="I104" s="33">
        <v>16734</v>
      </c>
      <c r="J104" s="33">
        <v>0</v>
      </c>
      <c r="K104" s="33">
        <v>9666</v>
      </c>
      <c r="L104" s="33">
        <v>26400</v>
      </c>
      <c r="M104" s="33">
        <v>10463</v>
      </c>
      <c r="N104" s="33">
        <v>0</v>
      </c>
      <c r="O104" s="33">
        <v>395</v>
      </c>
      <c r="P104" s="33">
        <v>10858</v>
      </c>
      <c r="Q104" s="33">
        <v>1040</v>
      </c>
      <c r="R104" s="33">
        <v>4</v>
      </c>
      <c r="S104" s="56">
        <v>0.61528845093208806</v>
      </c>
      <c r="T104" s="56">
        <v>0.70031476061626818</v>
      </c>
      <c r="U104" s="56">
        <v>0.70857265553706583</v>
      </c>
      <c r="V104" s="10"/>
      <c r="Z104" s="10"/>
    </row>
    <row r="105" spans="2:26" x14ac:dyDescent="0.15">
      <c r="B105" s="32" t="s">
        <v>433</v>
      </c>
      <c r="C105" s="51" t="s">
        <v>873</v>
      </c>
      <c r="D105" s="51" t="s">
        <v>740</v>
      </c>
      <c r="E105" s="33">
        <v>18040</v>
      </c>
      <c r="F105" s="33">
        <v>0</v>
      </c>
      <c r="G105" s="33">
        <v>12458.687924778762</v>
      </c>
      <c r="H105" s="33">
        <v>30498.687924778762</v>
      </c>
      <c r="I105" s="33">
        <v>11330</v>
      </c>
      <c r="J105" s="33">
        <v>0</v>
      </c>
      <c r="K105" s="33">
        <v>12316.736030088496</v>
      </c>
      <c r="L105" s="33">
        <v>23646.736030088498</v>
      </c>
      <c r="M105" s="33">
        <v>6710</v>
      </c>
      <c r="N105" s="33">
        <v>0</v>
      </c>
      <c r="O105" s="33">
        <v>141.95189469026548</v>
      </c>
      <c r="P105" s="33">
        <v>6851.9518946902654</v>
      </c>
      <c r="Q105" s="33">
        <v>5123.687924778762</v>
      </c>
      <c r="R105" s="33">
        <v>83.951894690265362</v>
      </c>
      <c r="S105" s="56">
        <v>0.62804878048780488</v>
      </c>
      <c r="T105" s="56">
        <v>0.73328078817733988</v>
      </c>
      <c r="U105" s="56">
        <v>0.77533617473677041</v>
      </c>
      <c r="V105" s="10"/>
      <c r="Z105" s="10"/>
    </row>
    <row r="106" spans="2:26" x14ac:dyDescent="0.15">
      <c r="B106" s="32" t="s">
        <v>477</v>
      </c>
      <c r="C106" s="51" t="s">
        <v>873</v>
      </c>
      <c r="D106" s="51" t="s">
        <v>478</v>
      </c>
      <c r="E106" s="33">
        <v>8875</v>
      </c>
      <c r="F106" s="33">
        <v>0</v>
      </c>
      <c r="G106" s="33">
        <v>2414</v>
      </c>
      <c r="H106" s="33">
        <v>11289</v>
      </c>
      <c r="I106" s="33">
        <v>5574</v>
      </c>
      <c r="J106" s="33">
        <v>0</v>
      </c>
      <c r="K106" s="33">
        <v>2353</v>
      </c>
      <c r="L106" s="33">
        <v>7927</v>
      </c>
      <c r="M106" s="33">
        <v>3301</v>
      </c>
      <c r="N106" s="33">
        <v>0</v>
      </c>
      <c r="O106" s="33">
        <v>61</v>
      </c>
      <c r="P106" s="33">
        <v>3362</v>
      </c>
      <c r="Q106" s="33">
        <v>0</v>
      </c>
      <c r="R106" s="33">
        <v>0</v>
      </c>
      <c r="S106" s="56">
        <v>0.62805633802816896</v>
      </c>
      <c r="T106" s="56">
        <v>0.70218797059084059</v>
      </c>
      <c r="U106" s="56">
        <v>0.70218797059084059</v>
      </c>
      <c r="V106" s="10"/>
      <c r="Z106" s="10"/>
    </row>
    <row r="107" spans="2:26" x14ac:dyDescent="0.15">
      <c r="B107" s="32" t="s">
        <v>479</v>
      </c>
      <c r="C107" s="51" t="s">
        <v>873</v>
      </c>
      <c r="D107" s="51" t="s">
        <v>741</v>
      </c>
      <c r="E107" s="33">
        <v>9548</v>
      </c>
      <c r="F107" s="33">
        <v>0</v>
      </c>
      <c r="G107" s="33">
        <v>2419</v>
      </c>
      <c r="H107" s="33">
        <v>11967</v>
      </c>
      <c r="I107" s="33">
        <v>4801</v>
      </c>
      <c r="J107" s="33">
        <v>0</v>
      </c>
      <c r="K107" s="33">
        <v>2380</v>
      </c>
      <c r="L107" s="33">
        <v>7181</v>
      </c>
      <c r="M107" s="33">
        <v>4747</v>
      </c>
      <c r="N107" s="33">
        <v>0</v>
      </c>
      <c r="O107" s="33">
        <v>39</v>
      </c>
      <c r="P107" s="33">
        <v>4786</v>
      </c>
      <c r="Q107" s="33">
        <v>0</v>
      </c>
      <c r="R107" s="33">
        <v>0</v>
      </c>
      <c r="S107" s="56">
        <v>0.50282781734394633</v>
      </c>
      <c r="T107" s="56">
        <v>0.60006685050555697</v>
      </c>
      <c r="U107" s="56">
        <v>0.60006685050555697</v>
      </c>
      <c r="V107" s="10"/>
      <c r="Z107" s="10"/>
    </row>
    <row r="108" spans="2:26" x14ac:dyDescent="0.15">
      <c r="B108" s="32" t="s">
        <v>495</v>
      </c>
      <c r="C108" s="51" t="s">
        <v>873</v>
      </c>
      <c r="D108" s="51" t="s">
        <v>742</v>
      </c>
      <c r="E108" s="33">
        <v>9076</v>
      </c>
      <c r="F108" s="33">
        <v>0</v>
      </c>
      <c r="G108" s="33">
        <v>4957</v>
      </c>
      <c r="H108" s="33">
        <v>14033</v>
      </c>
      <c r="I108" s="33">
        <v>5468</v>
      </c>
      <c r="J108" s="33">
        <v>0</v>
      </c>
      <c r="K108" s="33">
        <v>4841</v>
      </c>
      <c r="L108" s="33">
        <v>10309</v>
      </c>
      <c r="M108" s="33">
        <v>3608</v>
      </c>
      <c r="N108" s="33">
        <v>0</v>
      </c>
      <c r="O108" s="33">
        <v>116</v>
      </c>
      <c r="P108" s="33">
        <v>3724</v>
      </c>
      <c r="Q108" s="33">
        <v>0</v>
      </c>
      <c r="R108" s="33">
        <v>0</v>
      </c>
      <c r="S108" s="56">
        <v>0.60246804759806083</v>
      </c>
      <c r="T108" s="56">
        <v>0.73462552554692506</v>
      </c>
      <c r="U108" s="56">
        <v>0.73462552554692506</v>
      </c>
      <c r="V108" s="10"/>
      <c r="Z108" s="10"/>
    </row>
    <row r="109" spans="2:26" x14ac:dyDescent="0.15">
      <c r="B109" s="32" t="s">
        <v>437</v>
      </c>
      <c r="C109" s="51" t="s">
        <v>873</v>
      </c>
      <c r="D109" s="51" t="s">
        <v>845</v>
      </c>
      <c r="E109" s="33">
        <v>7511</v>
      </c>
      <c r="F109" s="33">
        <v>0</v>
      </c>
      <c r="G109" s="33">
        <v>6530</v>
      </c>
      <c r="H109" s="33">
        <v>14041</v>
      </c>
      <c r="I109" s="33">
        <v>4125</v>
      </c>
      <c r="J109" s="33">
        <v>0</v>
      </c>
      <c r="K109" s="33">
        <v>6429</v>
      </c>
      <c r="L109" s="33">
        <v>10554</v>
      </c>
      <c r="M109" s="33">
        <v>3386</v>
      </c>
      <c r="N109" s="33">
        <v>0</v>
      </c>
      <c r="O109" s="33">
        <v>101</v>
      </c>
      <c r="P109" s="33">
        <v>3487</v>
      </c>
      <c r="Q109" s="33">
        <v>0</v>
      </c>
      <c r="R109" s="33">
        <v>0</v>
      </c>
      <c r="S109" s="56">
        <v>0.54919451471175607</v>
      </c>
      <c r="T109" s="56">
        <v>0.75165586496688275</v>
      </c>
      <c r="U109" s="56">
        <v>0.75165586496688275</v>
      </c>
      <c r="V109" s="10"/>
      <c r="Z109" s="10"/>
    </row>
    <row r="110" spans="2:26" x14ac:dyDescent="0.15">
      <c r="B110" s="32" t="s">
        <v>440</v>
      </c>
      <c r="C110" s="51" t="s">
        <v>873</v>
      </c>
      <c r="D110" s="51" t="s">
        <v>441</v>
      </c>
      <c r="E110" s="33">
        <v>8046</v>
      </c>
      <c r="F110" s="33">
        <v>0</v>
      </c>
      <c r="G110" s="33">
        <v>7890</v>
      </c>
      <c r="H110" s="33">
        <v>15936</v>
      </c>
      <c r="I110" s="33">
        <v>3494</v>
      </c>
      <c r="J110" s="33">
        <v>0</v>
      </c>
      <c r="K110" s="33">
        <v>7109</v>
      </c>
      <c r="L110" s="33">
        <v>10603</v>
      </c>
      <c r="M110" s="33">
        <v>4552</v>
      </c>
      <c r="N110" s="33">
        <v>0</v>
      </c>
      <c r="O110" s="33">
        <v>781</v>
      </c>
      <c r="P110" s="33">
        <v>5333</v>
      </c>
      <c r="Q110" s="33">
        <v>5267</v>
      </c>
      <c r="R110" s="33">
        <v>365</v>
      </c>
      <c r="S110" s="56">
        <v>0.43425304499130002</v>
      </c>
      <c r="T110" s="56">
        <v>0.53435186053050898</v>
      </c>
      <c r="U110" s="56">
        <v>0.66534889558232935</v>
      </c>
      <c r="V110" s="10"/>
      <c r="Z110" s="10"/>
    </row>
    <row r="111" spans="2:26" x14ac:dyDescent="0.15">
      <c r="B111" s="32" t="s">
        <v>484</v>
      </c>
      <c r="C111" s="51" t="s">
        <v>873</v>
      </c>
      <c r="D111" s="51" t="s">
        <v>743</v>
      </c>
      <c r="E111" s="33">
        <v>7034</v>
      </c>
      <c r="F111" s="33">
        <v>0</v>
      </c>
      <c r="G111" s="33">
        <v>6080</v>
      </c>
      <c r="H111" s="33">
        <v>13114</v>
      </c>
      <c r="I111" s="33">
        <v>3056</v>
      </c>
      <c r="J111" s="33">
        <v>0</v>
      </c>
      <c r="K111" s="33">
        <v>5996</v>
      </c>
      <c r="L111" s="33">
        <v>9052</v>
      </c>
      <c r="M111" s="33">
        <v>3978</v>
      </c>
      <c r="N111" s="33">
        <v>0</v>
      </c>
      <c r="O111" s="33">
        <v>84</v>
      </c>
      <c r="P111" s="33">
        <v>4062</v>
      </c>
      <c r="Q111" s="33">
        <v>0</v>
      </c>
      <c r="R111" s="33">
        <v>0</v>
      </c>
      <c r="S111" s="56">
        <v>0.43446118851293714</v>
      </c>
      <c r="T111" s="56">
        <v>0.69025468964465453</v>
      </c>
      <c r="U111" s="56">
        <v>0.69025468964465453</v>
      </c>
      <c r="V111" s="10"/>
      <c r="Z111" s="10"/>
    </row>
    <row r="112" spans="2:26" x14ac:dyDescent="0.15">
      <c r="B112" s="32" t="s">
        <v>652</v>
      </c>
      <c r="C112" s="51" t="s">
        <v>870</v>
      </c>
      <c r="D112" s="51" t="s">
        <v>744</v>
      </c>
      <c r="E112" s="33">
        <v>8078</v>
      </c>
      <c r="F112" s="33">
        <v>0</v>
      </c>
      <c r="G112" s="33">
        <v>8040</v>
      </c>
      <c r="H112" s="33">
        <v>16118</v>
      </c>
      <c r="I112" s="33">
        <v>4690</v>
      </c>
      <c r="J112" s="33">
        <v>0</v>
      </c>
      <c r="K112" s="33">
        <v>7526</v>
      </c>
      <c r="L112" s="33">
        <v>12216</v>
      </c>
      <c r="M112" s="33">
        <v>3388</v>
      </c>
      <c r="N112" s="33">
        <v>0</v>
      </c>
      <c r="O112" s="33">
        <v>514</v>
      </c>
      <c r="P112" s="33">
        <v>3902</v>
      </c>
      <c r="Q112" s="33">
        <v>5357</v>
      </c>
      <c r="R112" s="33">
        <v>357</v>
      </c>
      <c r="S112" s="56">
        <v>0.58058925476603118</v>
      </c>
      <c r="T112" s="56">
        <v>0.67056964966081223</v>
      </c>
      <c r="U112" s="56">
        <v>0.75791041072093313</v>
      </c>
      <c r="V112" s="10"/>
      <c r="Z112" s="10"/>
    </row>
    <row r="113" spans="2:26" x14ac:dyDescent="0.15">
      <c r="B113" s="32" t="s">
        <v>578</v>
      </c>
      <c r="C113" s="51" t="s">
        <v>870</v>
      </c>
      <c r="D113" s="51" t="s">
        <v>579</v>
      </c>
      <c r="E113" s="33">
        <v>9848</v>
      </c>
      <c r="F113" s="33">
        <v>1233</v>
      </c>
      <c r="G113" s="33">
        <v>3232</v>
      </c>
      <c r="H113" s="33">
        <v>14313</v>
      </c>
      <c r="I113" s="33">
        <v>6755</v>
      </c>
      <c r="J113" s="33">
        <v>1233</v>
      </c>
      <c r="K113" s="33">
        <v>3112</v>
      </c>
      <c r="L113" s="33">
        <v>11100</v>
      </c>
      <c r="M113" s="33">
        <v>3093</v>
      </c>
      <c r="N113" s="33">
        <v>0</v>
      </c>
      <c r="O113" s="33">
        <v>120</v>
      </c>
      <c r="P113" s="33">
        <v>3213</v>
      </c>
      <c r="Q113" s="33">
        <v>0</v>
      </c>
      <c r="R113" s="33">
        <v>0</v>
      </c>
      <c r="S113" s="56">
        <v>0.68592607636068237</v>
      </c>
      <c r="T113" s="56">
        <v>0.77551875916998536</v>
      </c>
      <c r="U113" s="56">
        <v>0.77551875916998536</v>
      </c>
      <c r="V113" s="10"/>
      <c r="Z113" s="10"/>
    </row>
    <row r="114" spans="2:26" x14ac:dyDescent="0.15">
      <c r="B114" s="32" t="s">
        <v>639</v>
      </c>
      <c r="C114" s="51" t="s">
        <v>870</v>
      </c>
      <c r="D114" s="51" t="s">
        <v>745</v>
      </c>
      <c r="E114" s="33">
        <v>12375</v>
      </c>
      <c r="F114" s="33">
        <v>0</v>
      </c>
      <c r="G114" s="33">
        <v>4121</v>
      </c>
      <c r="H114" s="33">
        <v>16496</v>
      </c>
      <c r="I114" s="33">
        <v>9198</v>
      </c>
      <c r="J114" s="33">
        <v>0</v>
      </c>
      <c r="K114" s="33">
        <v>4023</v>
      </c>
      <c r="L114" s="33">
        <v>13221</v>
      </c>
      <c r="M114" s="33">
        <v>3177</v>
      </c>
      <c r="N114" s="33">
        <v>0</v>
      </c>
      <c r="O114" s="33">
        <v>98</v>
      </c>
      <c r="P114" s="33">
        <v>3275</v>
      </c>
      <c r="Q114" s="33">
        <v>0</v>
      </c>
      <c r="R114" s="33">
        <v>0</v>
      </c>
      <c r="S114" s="56">
        <v>0.74327272727272731</v>
      </c>
      <c r="T114" s="56">
        <v>0.80146702230843836</v>
      </c>
      <c r="U114" s="56">
        <v>0.80146702230843836</v>
      </c>
      <c r="V114" s="10"/>
      <c r="Z114" s="10"/>
    </row>
    <row r="115" spans="2:26" x14ac:dyDescent="0.15">
      <c r="B115" s="32" t="s">
        <v>641</v>
      </c>
      <c r="C115" s="51" t="s">
        <v>870</v>
      </c>
      <c r="D115" s="51" t="s">
        <v>642</v>
      </c>
      <c r="E115" s="33">
        <v>13689</v>
      </c>
      <c r="F115" s="33">
        <v>0</v>
      </c>
      <c r="G115" s="33">
        <v>30574</v>
      </c>
      <c r="H115" s="33">
        <v>44263</v>
      </c>
      <c r="I115" s="33">
        <v>6974</v>
      </c>
      <c r="J115" s="33">
        <v>0</v>
      </c>
      <c r="K115" s="33">
        <v>29665</v>
      </c>
      <c r="L115" s="33">
        <v>36639</v>
      </c>
      <c r="M115" s="33">
        <v>6715</v>
      </c>
      <c r="N115" s="33">
        <v>0</v>
      </c>
      <c r="O115" s="33">
        <v>909</v>
      </c>
      <c r="P115" s="33">
        <v>7624</v>
      </c>
      <c r="Q115" s="33">
        <v>17303</v>
      </c>
      <c r="R115" s="33">
        <v>95</v>
      </c>
      <c r="S115" s="56">
        <v>0.50946015048579152</v>
      </c>
      <c r="T115" s="56">
        <v>0.72073442136498511</v>
      </c>
      <c r="U115" s="56">
        <v>0.8277568172062445</v>
      </c>
      <c r="V115" s="10"/>
      <c r="Z115" s="10"/>
    </row>
    <row r="116" spans="2:26" x14ac:dyDescent="0.15">
      <c r="B116" s="32" t="s">
        <v>669</v>
      </c>
      <c r="C116" s="51" t="s">
        <v>870</v>
      </c>
      <c r="D116" s="51" t="s">
        <v>670</v>
      </c>
      <c r="E116" s="33">
        <v>12359</v>
      </c>
      <c r="F116" s="33">
        <v>0</v>
      </c>
      <c r="G116" s="33">
        <v>4659</v>
      </c>
      <c r="H116" s="33">
        <v>17018</v>
      </c>
      <c r="I116" s="33">
        <v>8240</v>
      </c>
      <c r="J116" s="33">
        <v>0</v>
      </c>
      <c r="K116" s="33">
        <v>4611</v>
      </c>
      <c r="L116" s="33">
        <v>12851</v>
      </c>
      <c r="M116" s="33">
        <v>4119</v>
      </c>
      <c r="N116" s="33">
        <v>0</v>
      </c>
      <c r="O116" s="33">
        <v>48</v>
      </c>
      <c r="P116" s="33">
        <v>4167</v>
      </c>
      <c r="Q116" s="33">
        <v>901</v>
      </c>
      <c r="R116" s="33">
        <v>0</v>
      </c>
      <c r="S116" s="56">
        <v>0.66672060846346792</v>
      </c>
      <c r="T116" s="56">
        <v>0.74145312403052677</v>
      </c>
      <c r="U116" s="56">
        <v>0.75514161476084141</v>
      </c>
      <c r="V116" s="10"/>
      <c r="Z116" s="10"/>
    </row>
    <row r="117" spans="2:26" x14ac:dyDescent="0.15">
      <c r="B117" s="32" t="s">
        <v>617</v>
      </c>
      <c r="C117" s="51" t="s">
        <v>870</v>
      </c>
      <c r="D117" s="51" t="s">
        <v>618</v>
      </c>
      <c r="E117" s="33">
        <v>23398</v>
      </c>
      <c r="F117" s="33">
        <v>944</v>
      </c>
      <c r="G117" s="33">
        <v>11567</v>
      </c>
      <c r="H117" s="33">
        <v>35909</v>
      </c>
      <c r="I117" s="33">
        <v>14648</v>
      </c>
      <c r="J117" s="33">
        <v>944</v>
      </c>
      <c r="K117" s="33">
        <v>11436</v>
      </c>
      <c r="L117" s="33">
        <v>27028</v>
      </c>
      <c r="M117" s="33">
        <v>8750</v>
      </c>
      <c r="N117" s="33">
        <v>0</v>
      </c>
      <c r="O117" s="33">
        <v>131</v>
      </c>
      <c r="P117" s="33">
        <v>8881</v>
      </c>
      <c r="Q117" s="33">
        <v>0</v>
      </c>
      <c r="R117" s="33">
        <v>0</v>
      </c>
      <c r="S117" s="56">
        <v>0.626036413368664</v>
      </c>
      <c r="T117" s="56">
        <v>0.75268038653262415</v>
      </c>
      <c r="U117" s="56">
        <v>0.75268038653262415</v>
      </c>
      <c r="V117" s="10"/>
      <c r="Z117" s="10"/>
    </row>
    <row r="118" spans="2:26" x14ac:dyDescent="0.15">
      <c r="B118" s="32" t="s">
        <v>625</v>
      </c>
      <c r="C118" s="51" t="s">
        <v>870</v>
      </c>
      <c r="D118" s="51" t="s">
        <v>626</v>
      </c>
      <c r="E118" s="33">
        <v>10050</v>
      </c>
      <c r="F118" s="33">
        <v>82</v>
      </c>
      <c r="G118" s="33">
        <v>4873</v>
      </c>
      <c r="H118" s="33">
        <v>15005</v>
      </c>
      <c r="I118" s="33">
        <v>4847</v>
      </c>
      <c r="J118" s="33">
        <v>82</v>
      </c>
      <c r="K118" s="33">
        <v>4450</v>
      </c>
      <c r="L118" s="33">
        <v>9379</v>
      </c>
      <c r="M118" s="33">
        <v>5203</v>
      </c>
      <c r="N118" s="33">
        <v>0</v>
      </c>
      <c r="O118" s="33">
        <v>423</v>
      </c>
      <c r="P118" s="33">
        <v>5626</v>
      </c>
      <c r="Q118" s="33">
        <v>0</v>
      </c>
      <c r="R118" s="33">
        <v>0</v>
      </c>
      <c r="S118" s="56">
        <v>0.48228855721393032</v>
      </c>
      <c r="T118" s="56">
        <v>0.62505831389536826</v>
      </c>
      <c r="U118" s="56">
        <v>0.62505831389536826</v>
      </c>
      <c r="V118" s="10"/>
      <c r="Z118" s="10"/>
    </row>
    <row r="119" spans="2:26" x14ac:dyDescent="0.15">
      <c r="B119" s="32" t="s">
        <v>627</v>
      </c>
      <c r="C119" s="51" t="s">
        <v>870</v>
      </c>
      <c r="D119" s="51" t="s">
        <v>746</v>
      </c>
      <c r="E119" s="33">
        <v>4442</v>
      </c>
      <c r="F119" s="33">
        <v>230</v>
      </c>
      <c r="G119" s="33">
        <v>1741</v>
      </c>
      <c r="H119" s="33">
        <v>6413</v>
      </c>
      <c r="I119" s="33">
        <v>3195</v>
      </c>
      <c r="J119" s="33">
        <v>230</v>
      </c>
      <c r="K119" s="33">
        <v>1713</v>
      </c>
      <c r="L119" s="33">
        <v>5138</v>
      </c>
      <c r="M119" s="33">
        <v>1247</v>
      </c>
      <c r="N119" s="33">
        <v>0</v>
      </c>
      <c r="O119" s="33">
        <v>28</v>
      </c>
      <c r="P119" s="33">
        <v>1275</v>
      </c>
      <c r="Q119" s="33">
        <v>0</v>
      </c>
      <c r="R119" s="33">
        <v>0</v>
      </c>
      <c r="S119" s="56">
        <v>0.71927059882935618</v>
      </c>
      <c r="T119" s="56">
        <v>0.80118509278029004</v>
      </c>
      <c r="U119" s="56">
        <v>0.80118509278029004</v>
      </c>
      <c r="V119" s="10"/>
      <c r="Z119" s="10"/>
    </row>
    <row r="120" spans="2:26" x14ac:dyDescent="0.15">
      <c r="B120" s="32" t="s">
        <v>645</v>
      </c>
      <c r="C120" s="51" t="s">
        <v>870</v>
      </c>
      <c r="D120" s="51" t="s">
        <v>747</v>
      </c>
      <c r="E120" s="33">
        <v>21697</v>
      </c>
      <c r="F120" s="33">
        <v>0</v>
      </c>
      <c r="G120" s="33">
        <v>2748.0179156784843</v>
      </c>
      <c r="H120" s="33">
        <v>24445.017915678483</v>
      </c>
      <c r="I120" s="33">
        <v>15826</v>
      </c>
      <c r="J120" s="33">
        <v>0</v>
      </c>
      <c r="K120" s="33">
        <v>2708.4217888487738</v>
      </c>
      <c r="L120" s="33">
        <v>18534.421788848773</v>
      </c>
      <c r="M120" s="33">
        <v>5871</v>
      </c>
      <c r="N120" s="33">
        <v>0</v>
      </c>
      <c r="O120" s="33">
        <v>39.596126829710414</v>
      </c>
      <c r="P120" s="33">
        <v>5910.5961268297106</v>
      </c>
      <c r="Q120" s="33">
        <v>1036.0179156784834</v>
      </c>
      <c r="R120" s="33">
        <v>38.596126829710556</v>
      </c>
      <c r="S120" s="56">
        <v>0.72940959579665388</v>
      </c>
      <c r="T120" s="56">
        <v>0.74915630740313555</v>
      </c>
      <c r="U120" s="56">
        <v>0.75820855819300559</v>
      </c>
      <c r="V120" s="10"/>
      <c r="Z120" s="10"/>
    </row>
    <row r="121" spans="2:26" x14ac:dyDescent="0.15">
      <c r="B121" s="32" t="s">
        <v>646</v>
      </c>
      <c r="C121" s="51" t="s">
        <v>870</v>
      </c>
      <c r="D121" s="51" t="s">
        <v>647</v>
      </c>
      <c r="E121" s="33">
        <v>10582</v>
      </c>
      <c r="F121" s="33">
        <v>0</v>
      </c>
      <c r="G121" s="33">
        <v>6701</v>
      </c>
      <c r="H121" s="33">
        <v>17283</v>
      </c>
      <c r="I121" s="33">
        <v>7375</v>
      </c>
      <c r="J121" s="33">
        <v>0</v>
      </c>
      <c r="K121" s="33">
        <v>5685</v>
      </c>
      <c r="L121" s="33">
        <v>13060</v>
      </c>
      <c r="M121" s="33">
        <v>3207</v>
      </c>
      <c r="N121" s="33">
        <v>0</v>
      </c>
      <c r="O121" s="33">
        <v>1016</v>
      </c>
      <c r="P121" s="33">
        <v>4223</v>
      </c>
      <c r="Q121" s="33">
        <v>0</v>
      </c>
      <c r="R121" s="33">
        <v>0</v>
      </c>
      <c r="S121" s="56">
        <v>0.69693819693819692</v>
      </c>
      <c r="T121" s="56">
        <v>0.75565584678585895</v>
      </c>
      <c r="U121" s="56">
        <v>0.75565584678585895</v>
      </c>
      <c r="V121" s="10"/>
      <c r="Z121" s="10"/>
    </row>
    <row r="122" spans="2:26" x14ac:dyDescent="0.15">
      <c r="B122" s="32" t="s">
        <v>582</v>
      </c>
      <c r="C122" s="51" t="s">
        <v>870</v>
      </c>
      <c r="D122" s="51" t="s">
        <v>583</v>
      </c>
      <c r="E122" s="33">
        <v>15665</v>
      </c>
      <c r="F122" s="33">
        <v>1472</v>
      </c>
      <c r="G122" s="33">
        <v>6920.652</v>
      </c>
      <c r="H122" s="33">
        <v>24057.651999999998</v>
      </c>
      <c r="I122" s="33">
        <v>11573</v>
      </c>
      <c r="J122" s="33">
        <v>1472</v>
      </c>
      <c r="K122" s="33">
        <v>6717.7920000000004</v>
      </c>
      <c r="L122" s="33">
        <v>19762.791999999998</v>
      </c>
      <c r="M122" s="33">
        <v>4092</v>
      </c>
      <c r="N122" s="33">
        <v>0</v>
      </c>
      <c r="O122" s="33">
        <v>202.85999999999999</v>
      </c>
      <c r="P122" s="33">
        <v>4294.8599999999997</v>
      </c>
      <c r="Q122" s="33">
        <v>4064.6519999999982</v>
      </c>
      <c r="R122" s="33">
        <v>202.85999999999967</v>
      </c>
      <c r="S122" s="56">
        <v>0.7387807213533355</v>
      </c>
      <c r="T122" s="56">
        <v>0.79532836492772474</v>
      </c>
      <c r="U122" s="56">
        <v>0.82147634357667154</v>
      </c>
      <c r="V122" s="10"/>
      <c r="Z122" s="10"/>
    </row>
    <row r="123" spans="2:26" x14ac:dyDescent="0.15">
      <c r="B123" s="32" t="s">
        <v>628</v>
      </c>
      <c r="C123" s="51" t="s">
        <v>870</v>
      </c>
      <c r="D123" s="51" t="s">
        <v>629</v>
      </c>
      <c r="E123" s="33">
        <v>13784</v>
      </c>
      <c r="F123" s="33">
        <v>1176</v>
      </c>
      <c r="G123" s="33">
        <v>12919</v>
      </c>
      <c r="H123" s="33">
        <v>27879</v>
      </c>
      <c r="I123" s="33">
        <v>8297</v>
      </c>
      <c r="J123" s="33">
        <v>1152</v>
      </c>
      <c r="K123" s="33">
        <v>12704</v>
      </c>
      <c r="L123" s="33">
        <v>22153</v>
      </c>
      <c r="M123" s="33">
        <v>5487</v>
      </c>
      <c r="N123" s="33">
        <v>24</v>
      </c>
      <c r="O123" s="33">
        <v>215</v>
      </c>
      <c r="P123" s="33">
        <v>5726</v>
      </c>
      <c r="Q123" s="33">
        <v>8588</v>
      </c>
      <c r="R123" s="33">
        <v>194</v>
      </c>
      <c r="S123" s="56">
        <v>0.6019297736506094</v>
      </c>
      <c r="T123" s="56">
        <v>0.71323415064019491</v>
      </c>
      <c r="U123" s="56">
        <v>0.79461243229671075</v>
      </c>
      <c r="V123" s="10"/>
      <c r="Z123" s="10"/>
    </row>
    <row r="124" spans="2:26" x14ac:dyDescent="0.15">
      <c r="B124" s="32" t="s">
        <v>584</v>
      </c>
      <c r="C124" s="51" t="s">
        <v>870</v>
      </c>
      <c r="D124" s="51" t="s">
        <v>585</v>
      </c>
      <c r="E124" s="33">
        <v>12872</v>
      </c>
      <c r="F124" s="33">
        <v>2923</v>
      </c>
      <c r="G124" s="33">
        <v>5757.348</v>
      </c>
      <c r="H124" s="33">
        <v>21552.347999999998</v>
      </c>
      <c r="I124" s="33">
        <v>8100</v>
      </c>
      <c r="J124" s="33">
        <v>2790</v>
      </c>
      <c r="K124" s="33">
        <v>5696.2079999999996</v>
      </c>
      <c r="L124" s="33">
        <v>16586.207999999999</v>
      </c>
      <c r="M124" s="33">
        <v>4772</v>
      </c>
      <c r="N124" s="33">
        <v>133</v>
      </c>
      <c r="O124" s="33">
        <v>61.139999999999993</v>
      </c>
      <c r="P124" s="33">
        <v>4966.1400000000003</v>
      </c>
      <c r="Q124" s="33">
        <v>2263.3479999999981</v>
      </c>
      <c r="R124" s="33">
        <v>61.140000000000327</v>
      </c>
      <c r="S124" s="56">
        <v>0.62927284027346175</v>
      </c>
      <c r="T124" s="56">
        <v>0.74570999014982631</v>
      </c>
      <c r="U124" s="56">
        <v>0.76957777407825823</v>
      </c>
      <c r="V124" s="10"/>
      <c r="Z124" s="10"/>
    </row>
    <row r="125" spans="2:26" x14ac:dyDescent="0.15">
      <c r="B125" s="32" t="s">
        <v>659</v>
      </c>
      <c r="C125" s="51" t="s">
        <v>870</v>
      </c>
      <c r="D125" s="51" t="s">
        <v>660</v>
      </c>
      <c r="E125" s="33">
        <v>7978</v>
      </c>
      <c r="F125" s="33">
        <v>0</v>
      </c>
      <c r="G125" s="33">
        <v>2477</v>
      </c>
      <c r="H125" s="33">
        <v>10455</v>
      </c>
      <c r="I125" s="33">
        <v>5178</v>
      </c>
      <c r="J125" s="33">
        <v>0</v>
      </c>
      <c r="K125" s="33">
        <v>2476</v>
      </c>
      <c r="L125" s="33">
        <v>7654</v>
      </c>
      <c r="M125" s="33">
        <v>2800</v>
      </c>
      <c r="N125" s="33">
        <v>0</v>
      </c>
      <c r="O125" s="33">
        <v>1</v>
      </c>
      <c r="P125" s="33">
        <v>2801</v>
      </c>
      <c r="Q125" s="33">
        <v>0</v>
      </c>
      <c r="R125" s="33">
        <v>0</v>
      </c>
      <c r="S125" s="56">
        <v>0.64903484582602156</v>
      </c>
      <c r="T125" s="56">
        <v>0.73208990913438543</v>
      </c>
      <c r="U125" s="56">
        <v>0.73208990913438543</v>
      </c>
      <c r="V125" s="10"/>
      <c r="Z125" s="10"/>
    </row>
    <row r="126" spans="2:26" x14ac:dyDescent="0.15">
      <c r="B126" s="32" t="s">
        <v>667</v>
      </c>
      <c r="C126" s="51" t="s">
        <v>870</v>
      </c>
      <c r="D126" s="51" t="s">
        <v>748</v>
      </c>
      <c r="E126" s="33">
        <v>11041</v>
      </c>
      <c r="F126" s="33">
        <v>0</v>
      </c>
      <c r="G126" s="33">
        <v>12604.214686022447</v>
      </c>
      <c r="H126" s="33">
        <v>23645.214686022446</v>
      </c>
      <c r="I126" s="33">
        <v>5753</v>
      </c>
      <c r="J126" s="33">
        <v>0</v>
      </c>
      <c r="K126" s="33">
        <v>12208.423661988852</v>
      </c>
      <c r="L126" s="33">
        <v>17961.423661988851</v>
      </c>
      <c r="M126" s="33">
        <v>5288</v>
      </c>
      <c r="N126" s="33">
        <v>0</v>
      </c>
      <c r="O126" s="33">
        <v>395.79102403359565</v>
      </c>
      <c r="P126" s="33">
        <v>5683.7910240335959</v>
      </c>
      <c r="Q126" s="33">
        <v>12604.214686022446</v>
      </c>
      <c r="R126" s="33">
        <v>395.79102403359593</v>
      </c>
      <c r="S126" s="56">
        <v>0.52105787519246449</v>
      </c>
      <c r="T126" s="56">
        <v>0.52105787519246449</v>
      </c>
      <c r="U126" s="56">
        <v>0.75962193198467798</v>
      </c>
      <c r="V126" s="10"/>
      <c r="Z126" s="10"/>
    </row>
    <row r="127" spans="2:26" x14ac:dyDescent="0.15">
      <c r="B127" s="32" t="s">
        <v>637</v>
      </c>
      <c r="C127" s="51" t="s">
        <v>870</v>
      </c>
      <c r="D127" s="51" t="s">
        <v>638</v>
      </c>
      <c r="E127" s="33">
        <v>12362</v>
      </c>
      <c r="F127" s="33">
        <v>1182</v>
      </c>
      <c r="G127" s="33">
        <v>8886</v>
      </c>
      <c r="H127" s="33">
        <v>22430</v>
      </c>
      <c r="I127" s="33">
        <v>8411</v>
      </c>
      <c r="J127" s="33">
        <v>1167</v>
      </c>
      <c r="K127" s="33">
        <v>8440</v>
      </c>
      <c r="L127" s="33">
        <v>18018</v>
      </c>
      <c r="M127" s="33">
        <v>3951</v>
      </c>
      <c r="N127" s="33">
        <v>15</v>
      </c>
      <c r="O127" s="33">
        <v>446</v>
      </c>
      <c r="P127" s="33">
        <v>4412</v>
      </c>
      <c r="Q127" s="33">
        <v>8886</v>
      </c>
      <c r="R127" s="33">
        <v>446</v>
      </c>
      <c r="S127" s="56">
        <v>0.68039152240737744</v>
      </c>
      <c r="T127" s="56">
        <v>0.70717660956881279</v>
      </c>
      <c r="U127" s="56">
        <v>0.80329915292019616</v>
      </c>
      <c r="V127" s="10"/>
      <c r="Z127" s="10"/>
    </row>
    <row r="128" spans="2:26" x14ac:dyDescent="0.15">
      <c r="B128" s="32" t="s">
        <v>678</v>
      </c>
      <c r="C128" s="51" t="s">
        <v>870</v>
      </c>
      <c r="D128" s="51" t="s">
        <v>749</v>
      </c>
      <c r="E128" s="33">
        <v>30362</v>
      </c>
      <c r="F128" s="33">
        <v>1563</v>
      </c>
      <c r="G128" s="33">
        <v>7240.7673982990673</v>
      </c>
      <c r="H128" s="33">
        <v>39165.767398299067</v>
      </c>
      <c r="I128" s="33">
        <v>17422</v>
      </c>
      <c r="J128" s="33">
        <v>1399</v>
      </c>
      <c r="K128" s="33">
        <v>6898.1545491623738</v>
      </c>
      <c r="L128" s="33">
        <v>25719.154549162373</v>
      </c>
      <c r="M128" s="33">
        <v>12940</v>
      </c>
      <c r="N128" s="33">
        <v>164</v>
      </c>
      <c r="O128" s="33">
        <v>342.61284913669391</v>
      </c>
      <c r="P128" s="33">
        <v>13446.612849136694</v>
      </c>
      <c r="Q128" s="33">
        <v>5340.7673982990673</v>
      </c>
      <c r="R128" s="33">
        <v>125.61284913669442</v>
      </c>
      <c r="S128" s="56">
        <v>0.57380936697187268</v>
      </c>
      <c r="T128" s="56">
        <v>0.60617886178861791</v>
      </c>
      <c r="U128" s="56">
        <v>0.65667434235641531</v>
      </c>
      <c r="V128" s="10"/>
      <c r="Z128" s="10"/>
    </row>
    <row r="129" spans="2:26" x14ac:dyDescent="0.15">
      <c r="B129" s="32" t="s">
        <v>569</v>
      </c>
      <c r="C129" s="51" t="s">
        <v>871</v>
      </c>
      <c r="D129" s="51" t="s">
        <v>846</v>
      </c>
      <c r="E129" s="33">
        <v>26019</v>
      </c>
      <c r="F129" s="33">
        <v>2648</v>
      </c>
      <c r="G129" s="33">
        <v>9915</v>
      </c>
      <c r="H129" s="33">
        <v>38582</v>
      </c>
      <c r="I129" s="33">
        <v>17631</v>
      </c>
      <c r="J129" s="33">
        <v>2342</v>
      </c>
      <c r="K129" s="33">
        <v>9360</v>
      </c>
      <c r="L129" s="33">
        <v>29333</v>
      </c>
      <c r="M129" s="33">
        <v>8388</v>
      </c>
      <c r="N129" s="33">
        <v>306</v>
      </c>
      <c r="O129" s="33">
        <v>555</v>
      </c>
      <c r="P129" s="33">
        <v>9249</v>
      </c>
      <c r="Q129" s="33">
        <v>9915</v>
      </c>
      <c r="R129" s="33">
        <v>555</v>
      </c>
      <c r="S129" s="56">
        <v>0.67762020062262196</v>
      </c>
      <c r="T129" s="56">
        <v>0.69672445669236405</v>
      </c>
      <c r="U129" s="56">
        <v>0.76027681302161632</v>
      </c>
      <c r="V129" s="10"/>
      <c r="Z129" s="10"/>
    </row>
    <row r="130" spans="2:26" x14ac:dyDescent="0.15">
      <c r="B130" s="32" t="s">
        <v>603</v>
      </c>
      <c r="C130" s="51" t="s">
        <v>871</v>
      </c>
      <c r="D130" s="51" t="s">
        <v>604</v>
      </c>
      <c r="E130" s="33">
        <v>5255</v>
      </c>
      <c r="F130" s="33">
        <v>0</v>
      </c>
      <c r="G130" s="33">
        <v>4436</v>
      </c>
      <c r="H130" s="33">
        <v>9691</v>
      </c>
      <c r="I130" s="33">
        <v>3185</v>
      </c>
      <c r="J130" s="33">
        <v>0</v>
      </c>
      <c r="K130" s="33">
        <v>4430</v>
      </c>
      <c r="L130" s="33">
        <v>7615</v>
      </c>
      <c r="M130" s="33">
        <v>2070</v>
      </c>
      <c r="N130" s="33">
        <v>0</v>
      </c>
      <c r="O130" s="33">
        <v>6</v>
      </c>
      <c r="P130" s="33">
        <v>2076</v>
      </c>
      <c r="Q130" s="33">
        <v>0</v>
      </c>
      <c r="R130" s="33">
        <v>0</v>
      </c>
      <c r="S130" s="56">
        <v>0.6060894386298763</v>
      </c>
      <c r="T130" s="56">
        <v>0.78578062119492309</v>
      </c>
      <c r="U130" s="56">
        <v>0.78578062119492309</v>
      </c>
      <c r="V130" s="10"/>
      <c r="Z130" s="10"/>
    </row>
    <row r="131" spans="2:26" x14ac:dyDescent="0.15">
      <c r="B131" s="32" t="s">
        <v>621</v>
      </c>
      <c r="C131" s="51" t="s">
        <v>871</v>
      </c>
      <c r="D131" s="51" t="s">
        <v>622</v>
      </c>
      <c r="E131" s="33">
        <v>14773</v>
      </c>
      <c r="F131" s="33">
        <v>0</v>
      </c>
      <c r="G131" s="33">
        <v>9047</v>
      </c>
      <c r="H131" s="33">
        <v>23820</v>
      </c>
      <c r="I131" s="33">
        <v>9134</v>
      </c>
      <c r="J131" s="33">
        <v>0</v>
      </c>
      <c r="K131" s="33">
        <v>8722</v>
      </c>
      <c r="L131" s="33">
        <v>17856</v>
      </c>
      <c r="M131" s="33">
        <v>5639</v>
      </c>
      <c r="N131" s="33">
        <v>0</v>
      </c>
      <c r="O131" s="33">
        <v>325</v>
      </c>
      <c r="P131" s="33">
        <v>5964</v>
      </c>
      <c r="Q131" s="33">
        <v>9047</v>
      </c>
      <c r="R131" s="33">
        <v>325</v>
      </c>
      <c r="S131" s="56">
        <v>0.61829012387463611</v>
      </c>
      <c r="T131" s="56">
        <v>0.61829012387463611</v>
      </c>
      <c r="U131" s="56">
        <v>0.74962216624685141</v>
      </c>
      <c r="V131" s="10"/>
      <c r="Z131" s="10"/>
    </row>
    <row r="132" spans="2:26" x14ac:dyDescent="0.15">
      <c r="B132" s="32" t="s">
        <v>552</v>
      </c>
      <c r="C132" s="51" t="s">
        <v>871</v>
      </c>
      <c r="D132" s="51" t="s">
        <v>553</v>
      </c>
      <c r="E132" s="33">
        <v>7991</v>
      </c>
      <c r="F132" s="33">
        <v>0</v>
      </c>
      <c r="G132" s="33">
        <v>5976</v>
      </c>
      <c r="H132" s="33">
        <v>13967</v>
      </c>
      <c r="I132" s="33">
        <v>4283</v>
      </c>
      <c r="J132" s="33">
        <v>0</v>
      </c>
      <c r="K132" s="33">
        <v>5328.4</v>
      </c>
      <c r="L132" s="33">
        <v>9611.4</v>
      </c>
      <c r="M132" s="33">
        <v>3708</v>
      </c>
      <c r="N132" s="33">
        <v>0</v>
      </c>
      <c r="O132" s="33">
        <v>647.6</v>
      </c>
      <c r="P132" s="33">
        <v>4355.6000000000004</v>
      </c>
      <c r="Q132" s="33">
        <v>1374</v>
      </c>
      <c r="R132" s="33">
        <v>19.600000000000364</v>
      </c>
      <c r="S132" s="56">
        <v>0.53597797522212487</v>
      </c>
      <c r="T132" s="56">
        <v>0.65568172794409596</v>
      </c>
      <c r="U132" s="56">
        <v>0.68815064079616239</v>
      </c>
      <c r="V132" s="10"/>
      <c r="Z132" s="10"/>
    </row>
    <row r="133" spans="2:26" x14ac:dyDescent="0.15">
      <c r="B133" s="32" t="s">
        <v>598</v>
      </c>
      <c r="C133" s="51" t="s">
        <v>871</v>
      </c>
      <c r="D133" s="51" t="s">
        <v>599</v>
      </c>
      <c r="E133" s="33">
        <v>9089</v>
      </c>
      <c r="F133" s="33">
        <v>74</v>
      </c>
      <c r="G133" s="33">
        <v>8290</v>
      </c>
      <c r="H133" s="33">
        <v>17453</v>
      </c>
      <c r="I133" s="33">
        <v>3293</v>
      </c>
      <c r="J133" s="33">
        <v>68</v>
      </c>
      <c r="K133" s="33">
        <v>8089</v>
      </c>
      <c r="L133" s="33">
        <v>11450</v>
      </c>
      <c r="M133" s="33">
        <v>5796</v>
      </c>
      <c r="N133" s="33">
        <v>6</v>
      </c>
      <c r="O133" s="33">
        <v>201</v>
      </c>
      <c r="P133" s="33">
        <v>6003</v>
      </c>
      <c r="Q133" s="33">
        <v>0</v>
      </c>
      <c r="R133" s="33">
        <v>0</v>
      </c>
      <c r="S133" s="56">
        <v>0.36230608427769834</v>
      </c>
      <c r="T133" s="56">
        <v>0.65604767088752647</v>
      </c>
      <c r="U133" s="56">
        <v>0.65604767088752647</v>
      </c>
      <c r="V133" s="10"/>
      <c r="Z133" s="10"/>
    </row>
    <row r="134" spans="2:26" x14ac:dyDescent="0.15">
      <c r="B134" s="32" t="s">
        <v>588</v>
      </c>
      <c r="C134" s="51" t="s">
        <v>871</v>
      </c>
      <c r="D134" s="51" t="s">
        <v>589</v>
      </c>
      <c r="E134" s="33">
        <v>7435</v>
      </c>
      <c r="F134" s="33">
        <v>0</v>
      </c>
      <c r="G134" s="33">
        <v>12254</v>
      </c>
      <c r="H134" s="33">
        <v>19689</v>
      </c>
      <c r="I134" s="33">
        <v>3507</v>
      </c>
      <c r="J134" s="33">
        <v>0</v>
      </c>
      <c r="K134" s="33">
        <v>11352</v>
      </c>
      <c r="L134" s="33">
        <v>14859</v>
      </c>
      <c r="M134" s="33">
        <v>3928</v>
      </c>
      <c r="N134" s="33">
        <v>0</v>
      </c>
      <c r="O134" s="33">
        <v>902</v>
      </c>
      <c r="P134" s="33">
        <v>4830</v>
      </c>
      <c r="Q134" s="33">
        <v>0</v>
      </c>
      <c r="R134" s="33">
        <v>0</v>
      </c>
      <c r="S134" s="56">
        <v>0.47168796234028243</v>
      </c>
      <c r="T134" s="56">
        <v>0.75468535730610997</v>
      </c>
      <c r="U134" s="56">
        <v>0.75468535730610997</v>
      </c>
      <c r="V134" s="10"/>
      <c r="Z134" s="10"/>
    </row>
    <row r="135" spans="2:26" x14ac:dyDescent="0.15">
      <c r="B135" s="32" t="s">
        <v>600</v>
      </c>
      <c r="C135" s="51" t="s">
        <v>871</v>
      </c>
      <c r="D135" s="51" t="s">
        <v>601</v>
      </c>
      <c r="E135" s="33">
        <v>14759</v>
      </c>
      <c r="F135" s="33">
        <v>0</v>
      </c>
      <c r="G135" s="33">
        <v>6942</v>
      </c>
      <c r="H135" s="33">
        <v>21701</v>
      </c>
      <c r="I135" s="33">
        <v>7415</v>
      </c>
      <c r="J135" s="33">
        <v>0</v>
      </c>
      <c r="K135" s="33">
        <v>6815</v>
      </c>
      <c r="L135" s="33">
        <v>14230</v>
      </c>
      <c r="M135" s="33">
        <v>7344</v>
      </c>
      <c r="N135" s="33">
        <v>0</v>
      </c>
      <c r="O135" s="33">
        <v>127</v>
      </c>
      <c r="P135" s="33">
        <v>7471</v>
      </c>
      <c r="Q135" s="33">
        <v>1893</v>
      </c>
      <c r="R135" s="33">
        <v>113</v>
      </c>
      <c r="S135" s="56">
        <v>0.50240531201300898</v>
      </c>
      <c r="T135" s="56">
        <v>0.62853392568659128</v>
      </c>
      <c r="U135" s="56">
        <v>0.65573015068430029</v>
      </c>
      <c r="V135" s="10"/>
      <c r="Z135" s="10"/>
    </row>
    <row r="136" spans="2:26" x14ac:dyDescent="0.15">
      <c r="B136" s="32" t="s">
        <v>557</v>
      </c>
      <c r="C136" s="51" t="s">
        <v>871</v>
      </c>
      <c r="D136" s="51" t="s">
        <v>558</v>
      </c>
      <c r="E136" s="33">
        <v>9425</v>
      </c>
      <c r="F136" s="33">
        <v>0</v>
      </c>
      <c r="G136" s="33">
        <v>3443</v>
      </c>
      <c r="H136" s="33">
        <v>12868</v>
      </c>
      <c r="I136" s="33">
        <v>5346</v>
      </c>
      <c r="J136" s="33">
        <v>0</v>
      </c>
      <c r="K136" s="33">
        <v>3409.6</v>
      </c>
      <c r="L136" s="33">
        <v>8755.6</v>
      </c>
      <c r="M136" s="33">
        <v>4079</v>
      </c>
      <c r="N136" s="33">
        <v>0</v>
      </c>
      <c r="O136" s="33">
        <v>33.4</v>
      </c>
      <c r="P136" s="33">
        <v>4112.3999999999996</v>
      </c>
      <c r="Q136" s="33">
        <v>3443</v>
      </c>
      <c r="R136" s="33">
        <v>33.399999999999636</v>
      </c>
      <c r="S136" s="56">
        <v>0.56721485411140582</v>
      </c>
      <c r="T136" s="56">
        <v>0.56721485411140582</v>
      </c>
      <c r="U136" s="56">
        <v>0.68041653714640971</v>
      </c>
      <c r="V136" s="10"/>
      <c r="Z136" s="10"/>
    </row>
    <row r="137" spans="2:26" x14ac:dyDescent="0.15">
      <c r="B137" s="32" t="s">
        <v>559</v>
      </c>
      <c r="C137" s="51" t="s">
        <v>871</v>
      </c>
      <c r="D137" s="51" t="s">
        <v>560</v>
      </c>
      <c r="E137" s="33">
        <v>5083</v>
      </c>
      <c r="F137" s="33">
        <v>339</v>
      </c>
      <c r="G137" s="33">
        <v>2102</v>
      </c>
      <c r="H137" s="33">
        <v>7524</v>
      </c>
      <c r="I137" s="33">
        <v>2562</v>
      </c>
      <c r="J137" s="33">
        <v>339</v>
      </c>
      <c r="K137" s="33">
        <v>2102</v>
      </c>
      <c r="L137" s="33">
        <v>5003</v>
      </c>
      <c r="M137" s="33">
        <v>2521</v>
      </c>
      <c r="N137" s="33">
        <v>0</v>
      </c>
      <c r="O137" s="33">
        <v>0</v>
      </c>
      <c r="P137" s="33">
        <v>2521</v>
      </c>
      <c r="Q137" s="33">
        <v>0</v>
      </c>
      <c r="R137" s="33">
        <v>0</v>
      </c>
      <c r="S137" s="56">
        <v>0.50403305134762932</v>
      </c>
      <c r="T137" s="56">
        <v>0.66493886230728338</v>
      </c>
      <c r="U137" s="56">
        <v>0.66493886230728338</v>
      </c>
      <c r="V137" s="10"/>
      <c r="Z137" s="10"/>
    </row>
    <row r="138" spans="2:26" x14ac:dyDescent="0.15">
      <c r="B138" s="32" t="s">
        <v>648</v>
      </c>
      <c r="C138" s="51" t="s">
        <v>871</v>
      </c>
      <c r="D138" s="51" t="s">
        <v>649</v>
      </c>
      <c r="E138" s="33">
        <v>12302</v>
      </c>
      <c r="F138" s="33">
        <v>0</v>
      </c>
      <c r="G138" s="33">
        <v>9553</v>
      </c>
      <c r="H138" s="33">
        <v>21855</v>
      </c>
      <c r="I138" s="33">
        <v>6447</v>
      </c>
      <c r="J138" s="33">
        <v>0</v>
      </c>
      <c r="K138" s="33">
        <v>9229</v>
      </c>
      <c r="L138" s="33">
        <v>15676</v>
      </c>
      <c r="M138" s="33">
        <v>5855</v>
      </c>
      <c r="N138" s="33">
        <v>0</v>
      </c>
      <c r="O138" s="33">
        <v>324</v>
      </c>
      <c r="P138" s="33">
        <v>6179</v>
      </c>
      <c r="Q138" s="33">
        <v>0</v>
      </c>
      <c r="R138" s="33">
        <v>0</v>
      </c>
      <c r="S138" s="56">
        <v>0.52406112827182572</v>
      </c>
      <c r="T138" s="56">
        <v>0.71727293525509039</v>
      </c>
      <c r="U138" s="56">
        <v>0.71727293525509039</v>
      </c>
      <c r="V138" s="10"/>
      <c r="Z138" s="10"/>
    </row>
    <row r="139" spans="2:26" x14ac:dyDescent="0.15">
      <c r="B139" s="32" t="s">
        <v>602</v>
      </c>
      <c r="C139" s="32" t="s">
        <v>871</v>
      </c>
      <c r="D139" s="32" t="s">
        <v>750</v>
      </c>
      <c r="E139" s="33">
        <v>7380</v>
      </c>
      <c r="F139" s="33">
        <v>0</v>
      </c>
      <c r="G139" s="33">
        <v>3743</v>
      </c>
      <c r="H139" s="33">
        <v>11123</v>
      </c>
      <c r="I139" s="33">
        <v>4397</v>
      </c>
      <c r="J139" s="33">
        <v>0</v>
      </c>
      <c r="K139" s="33">
        <v>3553</v>
      </c>
      <c r="L139" s="33">
        <v>7950</v>
      </c>
      <c r="M139" s="33">
        <v>2983</v>
      </c>
      <c r="N139" s="33">
        <v>0</v>
      </c>
      <c r="O139" s="33">
        <v>190</v>
      </c>
      <c r="P139" s="33">
        <v>3173</v>
      </c>
      <c r="Q139" s="33">
        <v>0</v>
      </c>
      <c r="R139" s="33">
        <v>0</v>
      </c>
      <c r="S139" s="56">
        <v>0.5957994579945799</v>
      </c>
      <c r="T139" s="56">
        <v>0.71473523330036859</v>
      </c>
      <c r="U139" s="56">
        <v>0.71473523330036859</v>
      </c>
      <c r="V139" s="10"/>
      <c r="Z139" s="10"/>
    </row>
    <row r="140" spans="2:26" x14ac:dyDescent="0.15">
      <c r="B140" s="34" t="s">
        <v>609</v>
      </c>
      <c r="C140" s="34" t="s">
        <v>871</v>
      </c>
      <c r="D140" s="34" t="s">
        <v>610</v>
      </c>
      <c r="E140" s="35">
        <v>16401</v>
      </c>
      <c r="F140" s="35">
        <v>0</v>
      </c>
      <c r="G140" s="35">
        <v>4083</v>
      </c>
      <c r="H140" s="35">
        <v>20484</v>
      </c>
      <c r="I140" s="35">
        <v>10634</v>
      </c>
      <c r="J140" s="35">
        <v>0</v>
      </c>
      <c r="K140" s="35">
        <v>4083</v>
      </c>
      <c r="L140" s="35">
        <v>14717</v>
      </c>
      <c r="M140" s="35">
        <v>5767</v>
      </c>
      <c r="N140" s="35">
        <v>0</v>
      </c>
      <c r="O140" s="35">
        <v>0</v>
      </c>
      <c r="P140" s="35">
        <v>5767</v>
      </c>
      <c r="Q140" s="35">
        <v>0</v>
      </c>
      <c r="R140" s="35">
        <v>0</v>
      </c>
      <c r="S140" s="62">
        <v>0.64837509907932445</v>
      </c>
      <c r="T140" s="62">
        <v>0.71846319078305021</v>
      </c>
      <c r="U140" s="62">
        <v>0.71846319078305021</v>
      </c>
      <c r="V140" s="10"/>
      <c r="Z140" s="10"/>
    </row>
    <row r="141" spans="2:26" x14ac:dyDescent="0.15">
      <c r="E141" s="10"/>
      <c r="F141" s="10"/>
      <c r="G141" s="10"/>
      <c r="H141" s="10"/>
      <c r="I141" s="10"/>
      <c r="J141" s="10"/>
      <c r="K141" s="10"/>
      <c r="L141" s="10"/>
      <c r="M141" s="10"/>
      <c r="N141" s="10"/>
      <c r="O141" s="10"/>
      <c r="P141" s="10"/>
      <c r="Q141" s="10"/>
      <c r="R141" s="10"/>
      <c r="S141" s="38"/>
      <c r="T141" s="38"/>
      <c r="U141" s="38"/>
      <c r="V141" s="10"/>
      <c r="Z141" s="10"/>
    </row>
    <row r="142" spans="2:26" x14ac:dyDescent="0.15">
      <c r="E142" s="10"/>
      <c r="F142" s="10"/>
      <c r="G142" s="10"/>
      <c r="H142" s="10"/>
      <c r="I142" s="10"/>
      <c r="J142" s="10"/>
      <c r="K142" s="10"/>
      <c r="L142" s="10"/>
      <c r="M142" s="10"/>
      <c r="N142" s="10"/>
      <c r="O142" s="10"/>
      <c r="P142" s="10"/>
      <c r="Q142" s="38"/>
      <c r="R142" s="10"/>
      <c r="S142" s="10"/>
      <c r="T142" s="10"/>
      <c r="U142" s="10"/>
      <c r="V142" s="10"/>
      <c r="Z142" s="10"/>
    </row>
    <row r="143" spans="2:26" x14ac:dyDescent="0.15">
      <c r="E143" s="10"/>
      <c r="F143" s="10"/>
      <c r="G143" s="10"/>
      <c r="H143" s="10"/>
      <c r="I143" s="10"/>
      <c r="J143" s="10"/>
      <c r="K143" s="10"/>
      <c r="L143" s="10"/>
      <c r="M143" s="10"/>
      <c r="N143" s="10"/>
      <c r="O143" s="10"/>
      <c r="P143" s="10"/>
      <c r="Q143" s="38"/>
      <c r="R143" s="10"/>
      <c r="S143" s="10"/>
      <c r="T143" s="10"/>
      <c r="U143" s="10"/>
      <c r="V143" s="10"/>
      <c r="Z143" s="10"/>
    </row>
    <row r="144" spans="2:26" x14ac:dyDescent="0.15">
      <c r="E144" s="10"/>
      <c r="F144" s="10"/>
      <c r="G144" s="10"/>
      <c r="H144" s="10"/>
      <c r="I144" s="10"/>
      <c r="J144" s="10"/>
      <c r="K144" s="10"/>
      <c r="L144" s="10"/>
      <c r="M144" s="10"/>
      <c r="N144" s="10"/>
      <c r="O144" s="10"/>
      <c r="P144" s="10"/>
      <c r="Q144" s="38"/>
      <c r="R144" s="10"/>
      <c r="S144" s="10"/>
      <c r="T144" s="10"/>
      <c r="U144" s="10"/>
      <c r="V144" s="10"/>
      <c r="Z144" s="10"/>
    </row>
    <row r="145" spans="3:26" x14ac:dyDescent="0.15">
      <c r="E145" s="10"/>
      <c r="F145" s="10"/>
      <c r="G145" s="10"/>
      <c r="H145" s="10"/>
      <c r="I145" s="10"/>
      <c r="J145" s="10"/>
      <c r="K145" s="10"/>
      <c r="L145" s="10"/>
      <c r="M145" s="10"/>
      <c r="N145" s="10"/>
      <c r="O145" s="10"/>
      <c r="P145" s="10"/>
      <c r="Q145" s="38"/>
      <c r="R145" s="10"/>
      <c r="S145" s="10"/>
      <c r="T145" s="10"/>
      <c r="U145" s="10"/>
      <c r="V145" s="10"/>
      <c r="Z145" s="10"/>
    </row>
    <row r="146" spans="3:26" x14ac:dyDescent="0.15">
      <c r="E146" s="10"/>
      <c r="F146" s="10"/>
      <c r="G146" s="10"/>
      <c r="H146" s="10"/>
      <c r="I146" s="10"/>
      <c r="J146" s="10"/>
      <c r="K146" s="10"/>
      <c r="L146" s="10"/>
      <c r="M146" s="10"/>
      <c r="N146" s="10"/>
      <c r="O146" s="10"/>
      <c r="P146" s="10"/>
      <c r="Q146" s="38"/>
      <c r="R146" s="10"/>
      <c r="S146" s="10"/>
      <c r="T146" s="10"/>
      <c r="U146" s="10"/>
      <c r="V146" s="10"/>
      <c r="Z146" s="10"/>
    </row>
    <row r="147" spans="3:26" x14ac:dyDescent="0.15">
      <c r="E147" s="10"/>
      <c r="F147" s="10"/>
      <c r="G147" s="10"/>
      <c r="H147" s="10"/>
      <c r="I147" s="10"/>
      <c r="J147" s="10"/>
      <c r="K147" s="10"/>
      <c r="L147" s="10"/>
      <c r="M147" s="10"/>
      <c r="N147" s="10"/>
      <c r="O147" s="10"/>
      <c r="P147" s="10"/>
      <c r="Q147" s="38"/>
      <c r="R147" s="10"/>
      <c r="S147" s="10"/>
      <c r="T147" s="10"/>
      <c r="U147" s="10"/>
      <c r="V147" s="10"/>
      <c r="Z147" s="10"/>
    </row>
    <row r="148" spans="3:26" x14ac:dyDescent="0.15">
      <c r="E148" s="10"/>
      <c r="F148" s="10"/>
      <c r="G148" s="10"/>
      <c r="H148" s="10"/>
      <c r="I148" s="10"/>
      <c r="J148" s="10"/>
      <c r="K148" s="10"/>
      <c r="L148" s="10"/>
      <c r="M148" s="10"/>
      <c r="N148" s="10"/>
      <c r="O148" s="10"/>
      <c r="P148" s="10"/>
      <c r="Q148" s="38"/>
      <c r="R148" s="10"/>
      <c r="S148" s="10"/>
      <c r="T148" s="10"/>
      <c r="U148" s="10"/>
      <c r="V148" s="10"/>
      <c r="Z148" s="10"/>
    </row>
    <row r="149" spans="3:26" x14ac:dyDescent="0.15">
      <c r="E149" s="10"/>
      <c r="F149" s="10"/>
      <c r="G149" s="10"/>
      <c r="H149" s="10"/>
      <c r="I149" s="10"/>
      <c r="J149" s="10"/>
      <c r="K149" s="10"/>
      <c r="L149" s="10"/>
      <c r="M149" s="10"/>
      <c r="N149" s="10"/>
      <c r="O149" s="10"/>
      <c r="P149" s="10"/>
      <c r="Q149" s="38"/>
      <c r="R149" s="10"/>
      <c r="S149" s="10"/>
      <c r="T149" s="10"/>
      <c r="U149" s="10"/>
      <c r="V149" s="10"/>
      <c r="Z149" s="10"/>
    </row>
    <row r="150" spans="3:26" x14ac:dyDescent="0.15">
      <c r="E150" s="10"/>
      <c r="F150" s="10"/>
      <c r="G150" s="10"/>
      <c r="H150" s="10"/>
      <c r="I150" s="10"/>
      <c r="J150" s="10"/>
      <c r="K150" s="10"/>
      <c r="L150" s="10"/>
      <c r="M150" s="10"/>
      <c r="N150" s="10"/>
      <c r="O150" s="10"/>
      <c r="P150" s="10"/>
      <c r="Q150" s="38"/>
      <c r="R150" s="10"/>
      <c r="S150" s="10"/>
      <c r="T150" s="10"/>
      <c r="U150" s="10"/>
      <c r="V150" s="10"/>
      <c r="Z150" s="10"/>
    </row>
    <row r="151" spans="3:26" x14ac:dyDescent="0.15">
      <c r="E151" s="10"/>
      <c r="F151" s="10"/>
      <c r="G151" s="10"/>
      <c r="H151" s="10"/>
      <c r="I151" s="10"/>
      <c r="J151" s="10"/>
      <c r="K151" s="10"/>
      <c r="L151" s="10"/>
      <c r="M151" s="10"/>
      <c r="N151" s="10"/>
      <c r="O151" s="10"/>
      <c r="P151" s="10"/>
      <c r="Q151" s="38"/>
      <c r="R151" s="10"/>
      <c r="S151" s="10"/>
      <c r="T151" s="10"/>
      <c r="U151" s="10"/>
      <c r="V151" s="10"/>
      <c r="Z151" s="10"/>
    </row>
    <row r="152" spans="3:26" x14ac:dyDescent="0.15">
      <c r="C152" s="10"/>
      <c r="D152" s="10"/>
      <c r="E152" s="10"/>
      <c r="F152" s="10"/>
      <c r="G152" s="10"/>
      <c r="H152" s="10"/>
      <c r="I152" s="10"/>
      <c r="J152" s="10"/>
      <c r="K152" s="10"/>
      <c r="L152" s="10"/>
      <c r="M152" s="10"/>
      <c r="N152" s="10"/>
      <c r="O152" s="38"/>
      <c r="P152" s="10"/>
      <c r="Q152" s="10"/>
      <c r="R152" s="10"/>
      <c r="S152" s="10"/>
      <c r="T152" s="10"/>
      <c r="U152" s="10"/>
      <c r="V152" s="10"/>
      <c r="Z152" s="10"/>
    </row>
    <row r="153" spans="3:26" x14ac:dyDescent="0.15">
      <c r="C153" s="10"/>
      <c r="D153" s="10"/>
      <c r="E153" s="10"/>
      <c r="F153" s="10"/>
      <c r="G153" s="10"/>
      <c r="H153" s="10"/>
      <c r="I153" s="10"/>
      <c r="J153" s="10"/>
      <c r="K153" s="10"/>
      <c r="L153" s="10"/>
      <c r="M153" s="10"/>
      <c r="N153" s="10"/>
      <c r="O153" s="38"/>
      <c r="P153" s="10"/>
      <c r="Q153" s="10"/>
      <c r="R153" s="10"/>
      <c r="S153" s="10"/>
      <c r="T153" s="10"/>
      <c r="U153" s="10"/>
      <c r="V153" s="10"/>
    </row>
    <row r="154" spans="3:26" x14ac:dyDescent="0.15">
      <c r="C154" s="10"/>
      <c r="D154" s="10"/>
      <c r="E154" s="10"/>
      <c r="F154" s="10"/>
      <c r="G154" s="10"/>
      <c r="H154" s="10"/>
      <c r="I154" s="10"/>
      <c r="J154" s="10"/>
      <c r="K154" s="10"/>
      <c r="L154" s="10"/>
      <c r="M154" s="10"/>
      <c r="N154" s="10"/>
      <c r="O154" s="38"/>
      <c r="P154" s="10"/>
      <c r="Q154" s="10"/>
      <c r="R154" s="10"/>
      <c r="S154" s="10"/>
      <c r="T154" s="10"/>
      <c r="U154" s="10"/>
      <c r="V154" s="10"/>
    </row>
    <row r="155" spans="3:26" x14ac:dyDescent="0.15">
      <c r="C155" s="10"/>
      <c r="D155" s="10"/>
      <c r="E155" s="10"/>
      <c r="F155" s="10"/>
      <c r="G155" s="10"/>
      <c r="H155" s="10"/>
      <c r="I155" s="10"/>
      <c r="J155" s="10"/>
      <c r="K155" s="10"/>
      <c r="L155" s="10"/>
      <c r="M155" s="10"/>
      <c r="N155" s="10"/>
      <c r="O155" s="38"/>
      <c r="P155" s="10"/>
      <c r="Q155" s="10"/>
      <c r="R155" s="10"/>
      <c r="S155" s="10"/>
      <c r="T155" s="10"/>
      <c r="U155" s="10"/>
      <c r="V155" s="10"/>
    </row>
    <row r="156" spans="3:26" x14ac:dyDescent="0.15">
      <c r="C156" s="10"/>
      <c r="D156" s="10"/>
      <c r="E156" s="10"/>
      <c r="F156" s="10"/>
      <c r="G156" s="10"/>
      <c r="H156" s="10"/>
      <c r="I156" s="10"/>
      <c r="J156" s="10"/>
      <c r="K156" s="10"/>
      <c r="L156" s="10"/>
      <c r="M156" s="10"/>
      <c r="N156" s="10"/>
      <c r="O156" s="38"/>
      <c r="P156" s="10"/>
      <c r="Q156" s="10"/>
      <c r="R156" s="10"/>
      <c r="S156" s="10"/>
      <c r="T156" s="10"/>
      <c r="U156" s="10"/>
      <c r="V156" s="10"/>
    </row>
    <row r="157" spans="3:26" x14ac:dyDescent="0.15">
      <c r="C157" s="10"/>
      <c r="D157" s="10"/>
      <c r="E157" s="10"/>
      <c r="F157" s="10"/>
      <c r="G157" s="10"/>
      <c r="H157" s="10"/>
      <c r="I157" s="10"/>
      <c r="J157" s="10"/>
      <c r="K157" s="10"/>
      <c r="L157" s="10"/>
      <c r="M157" s="10"/>
      <c r="N157" s="10"/>
      <c r="O157" s="38"/>
      <c r="P157" s="10"/>
      <c r="Q157" s="10"/>
      <c r="R157" s="10"/>
      <c r="S157" s="10"/>
      <c r="T157" s="10"/>
      <c r="U157" s="10"/>
      <c r="V157" s="10"/>
    </row>
    <row r="158" spans="3:26" x14ac:dyDescent="0.15">
      <c r="C158" s="10"/>
      <c r="D158" s="10"/>
      <c r="E158" s="10"/>
      <c r="F158" s="10"/>
      <c r="G158" s="10"/>
      <c r="H158" s="10"/>
      <c r="I158" s="10"/>
      <c r="J158" s="10"/>
      <c r="K158" s="10"/>
      <c r="L158" s="10"/>
      <c r="M158" s="10"/>
      <c r="N158" s="10"/>
      <c r="O158" s="38"/>
      <c r="P158" s="10"/>
      <c r="Q158" s="10"/>
      <c r="R158" s="10"/>
      <c r="S158" s="10"/>
      <c r="T158" s="10"/>
      <c r="U158" s="10"/>
      <c r="V158" s="10"/>
    </row>
    <row r="159" spans="3:26" x14ac:dyDescent="0.15">
      <c r="E159" s="10"/>
      <c r="F159" s="10"/>
      <c r="G159" s="10"/>
      <c r="H159" s="10"/>
      <c r="I159" s="10"/>
      <c r="J159" s="10"/>
      <c r="K159" s="10"/>
      <c r="L159" s="10"/>
      <c r="M159" s="10"/>
      <c r="N159" s="10"/>
      <c r="O159" s="10"/>
      <c r="P159" s="10"/>
      <c r="Q159" s="38"/>
      <c r="R159" s="10"/>
      <c r="S159" s="10"/>
      <c r="T159" s="10"/>
      <c r="U159" s="10"/>
      <c r="V159" s="10"/>
    </row>
    <row r="160" spans="3:26" x14ac:dyDescent="0.15">
      <c r="E160" s="10"/>
      <c r="F160" s="10"/>
      <c r="G160" s="10"/>
      <c r="H160" s="10"/>
      <c r="I160" s="10"/>
      <c r="J160" s="10"/>
      <c r="K160" s="10"/>
      <c r="L160" s="10"/>
      <c r="M160" s="10"/>
      <c r="N160" s="10"/>
      <c r="O160" s="10"/>
      <c r="P160" s="10"/>
      <c r="Q160" s="38"/>
      <c r="R160" s="10"/>
      <c r="S160" s="10"/>
      <c r="T160" s="10"/>
      <c r="U160" s="10"/>
      <c r="V160" s="10"/>
      <c r="Z160" s="10"/>
    </row>
    <row r="161" spans="5:26" x14ac:dyDescent="0.15">
      <c r="E161" s="10"/>
      <c r="F161" s="10"/>
      <c r="G161" s="10"/>
      <c r="H161" s="10"/>
      <c r="I161" s="10"/>
      <c r="J161" s="10"/>
      <c r="K161" s="10"/>
      <c r="L161" s="10"/>
      <c r="M161" s="10"/>
      <c r="N161" s="10"/>
      <c r="O161" s="10"/>
      <c r="P161" s="10"/>
      <c r="Q161" s="38"/>
      <c r="R161" s="10"/>
      <c r="S161" s="10"/>
      <c r="T161" s="10"/>
      <c r="U161" s="10"/>
      <c r="V161" s="10"/>
      <c r="Z161" s="10"/>
    </row>
    <row r="162" spans="5:26" x14ac:dyDescent="0.15">
      <c r="E162" s="10"/>
      <c r="F162" s="10"/>
      <c r="G162" s="10"/>
      <c r="H162" s="10"/>
      <c r="I162" s="10"/>
      <c r="J162" s="10"/>
      <c r="K162" s="10"/>
      <c r="L162" s="10"/>
      <c r="M162" s="10"/>
      <c r="N162" s="10"/>
      <c r="O162" s="10"/>
      <c r="P162" s="10"/>
      <c r="Q162" s="38"/>
      <c r="R162" s="10"/>
      <c r="S162" s="10"/>
      <c r="T162" s="10"/>
      <c r="U162" s="10"/>
      <c r="V162" s="10"/>
      <c r="Z162" s="10"/>
    </row>
    <row r="163" spans="5:26" x14ac:dyDescent="0.15">
      <c r="E163" s="10"/>
      <c r="F163" s="10"/>
      <c r="G163" s="10"/>
      <c r="H163" s="10"/>
      <c r="I163" s="10"/>
      <c r="J163" s="10"/>
      <c r="K163" s="10"/>
      <c r="L163" s="10"/>
      <c r="M163" s="10"/>
      <c r="N163" s="10"/>
      <c r="O163" s="10"/>
      <c r="P163" s="10"/>
      <c r="Q163" s="38"/>
      <c r="R163" s="10"/>
      <c r="S163" s="10"/>
      <c r="T163" s="10"/>
      <c r="U163" s="10"/>
      <c r="V163" s="10"/>
      <c r="Z163" s="10"/>
    </row>
    <row r="164" spans="5:26" x14ac:dyDescent="0.15">
      <c r="E164" s="10"/>
      <c r="F164" s="10"/>
      <c r="G164" s="10"/>
      <c r="H164" s="10"/>
      <c r="I164" s="10"/>
      <c r="J164" s="10"/>
      <c r="K164" s="10"/>
      <c r="L164" s="10"/>
      <c r="M164" s="10"/>
      <c r="N164" s="10"/>
      <c r="O164" s="10"/>
      <c r="P164" s="10"/>
      <c r="Q164" s="38"/>
      <c r="R164" s="10"/>
      <c r="S164" s="10"/>
      <c r="T164" s="10"/>
      <c r="U164" s="10"/>
      <c r="V164" s="10"/>
      <c r="Z164" s="10"/>
    </row>
    <row r="165" spans="5:26" x14ac:dyDescent="0.15">
      <c r="E165" s="10"/>
      <c r="F165" s="10"/>
      <c r="G165" s="10"/>
      <c r="H165" s="10"/>
      <c r="I165" s="10"/>
      <c r="J165" s="10"/>
      <c r="K165" s="10"/>
      <c r="L165" s="10"/>
      <c r="M165" s="10"/>
      <c r="N165" s="10"/>
      <c r="O165" s="10"/>
      <c r="P165" s="10"/>
      <c r="Q165" s="38"/>
      <c r="R165" s="10"/>
      <c r="S165" s="10"/>
      <c r="T165" s="10"/>
      <c r="U165" s="10"/>
      <c r="V165" s="10"/>
      <c r="Z165" s="10"/>
    </row>
    <row r="166" spans="5:26" x14ac:dyDescent="0.15">
      <c r="E166" s="10"/>
      <c r="F166" s="10"/>
      <c r="G166" s="10"/>
      <c r="H166" s="10"/>
      <c r="I166" s="10"/>
      <c r="J166" s="10"/>
      <c r="K166" s="10"/>
      <c r="L166" s="10"/>
      <c r="M166" s="10"/>
      <c r="N166" s="10"/>
      <c r="O166" s="10"/>
      <c r="P166" s="10"/>
      <c r="Q166" s="38"/>
      <c r="R166" s="10"/>
      <c r="S166" s="10"/>
      <c r="T166" s="10"/>
      <c r="U166" s="10"/>
      <c r="V166" s="10"/>
      <c r="Z166" s="10"/>
    </row>
    <row r="167" spans="5:26" x14ac:dyDescent="0.15">
      <c r="E167" s="10"/>
      <c r="F167" s="10"/>
      <c r="G167" s="10"/>
      <c r="H167" s="10"/>
      <c r="I167" s="10"/>
      <c r="J167" s="10"/>
      <c r="K167" s="10"/>
      <c r="L167" s="10"/>
      <c r="M167" s="10"/>
      <c r="N167" s="10"/>
      <c r="O167" s="10"/>
      <c r="P167" s="10"/>
      <c r="Q167" s="38"/>
      <c r="R167" s="10"/>
      <c r="S167" s="10"/>
      <c r="T167" s="10"/>
      <c r="U167" s="10"/>
      <c r="V167" s="10"/>
      <c r="Z167" s="10"/>
    </row>
    <row r="168" spans="5:26" x14ac:dyDescent="0.15">
      <c r="E168" s="10"/>
      <c r="F168" s="10"/>
      <c r="G168" s="10"/>
      <c r="H168" s="10"/>
      <c r="I168" s="10"/>
      <c r="J168" s="10"/>
      <c r="K168" s="10"/>
      <c r="L168" s="10"/>
      <c r="M168" s="10"/>
      <c r="N168" s="10"/>
      <c r="O168" s="10"/>
      <c r="P168" s="10"/>
      <c r="Q168" s="38"/>
      <c r="R168" s="10"/>
      <c r="S168" s="10"/>
      <c r="T168" s="10"/>
      <c r="U168" s="10"/>
      <c r="V168" s="10"/>
      <c r="Z168" s="10"/>
    </row>
    <row r="169" spans="5:26" x14ac:dyDescent="0.15">
      <c r="E169" s="10"/>
      <c r="F169" s="10"/>
      <c r="G169" s="10"/>
      <c r="H169" s="10"/>
      <c r="I169" s="10"/>
      <c r="J169" s="10"/>
      <c r="K169" s="10"/>
      <c r="L169" s="10"/>
      <c r="M169" s="10"/>
      <c r="N169" s="10"/>
      <c r="O169" s="10"/>
      <c r="P169" s="10"/>
      <c r="Q169" s="38"/>
      <c r="R169" s="10"/>
      <c r="S169" s="10"/>
      <c r="T169" s="10"/>
      <c r="U169" s="10"/>
      <c r="V169" s="10"/>
      <c r="Z169" s="10"/>
    </row>
    <row r="170" spans="5:26" x14ac:dyDescent="0.15">
      <c r="E170" s="10"/>
      <c r="F170" s="10"/>
      <c r="G170" s="10"/>
      <c r="H170" s="10"/>
      <c r="I170" s="10"/>
      <c r="J170" s="10"/>
      <c r="K170" s="10"/>
      <c r="L170" s="10"/>
      <c r="M170" s="10"/>
      <c r="N170" s="10"/>
      <c r="O170" s="10"/>
      <c r="P170" s="10"/>
      <c r="Q170" s="38"/>
      <c r="R170" s="10"/>
      <c r="S170" s="10"/>
      <c r="T170" s="10"/>
      <c r="U170" s="10"/>
      <c r="V170" s="10"/>
      <c r="Z170" s="10"/>
    </row>
    <row r="171" spans="5:26" x14ac:dyDescent="0.15">
      <c r="E171" s="10"/>
      <c r="F171" s="10"/>
      <c r="G171" s="10"/>
      <c r="H171" s="10"/>
      <c r="I171" s="10"/>
      <c r="J171" s="10"/>
      <c r="K171" s="10"/>
      <c r="L171" s="10"/>
      <c r="M171" s="10"/>
      <c r="N171" s="10"/>
      <c r="O171" s="10"/>
      <c r="P171" s="10"/>
      <c r="Q171" s="38"/>
      <c r="R171" s="10"/>
      <c r="S171" s="10"/>
      <c r="T171" s="10"/>
      <c r="U171" s="10"/>
      <c r="V171" s="10"/>
      <c r="Z171" s="10"/>
    </row>
    <row r="172" spans="5:26" x14ac:dyDescent="0.15">
      <c r="E172" s="10"/>
      <c r="F172" s="10"/>
      <c r="G172" s="10"/>
      <c r="H172" s="10"/>
      <c r="I172" s="10"/>
      <c r="J172" s="10"/>
      <c r="K172" s="10"/>
      <c r="L172" s="10"/>
      <c r="M172" s="10"/>
      <c r="N172" s="10"/>
      <c r="O172" s="10"/>
      <c r="P172" s="10"/>
      <c r="Q172" s="38"/>
      <c r="R172" s="10"/>
      <c r="S172" s="10"/>
      <c r="T172" s="10"/>
      <c r="U172" s="10"/>
      <c r="V172" s="10"/>
      <c r="Z172" s="10"/>
    </row>
    <row r="173" spans="5:26" x14ac:dyDescent="0.15">
      <c r="E173" s="10"/>
      <c r="F173" s="10"/>
      <c r="G173" s="10"/>
      <c r="H173" s="10"/>
      <c r="I173" s="10"/>
      <c r="J173" s="10"/>
      <c r="K173" s="10"/>
      <c r="L173" s="10"/>
      <c r="M173" s="10"/>
      <c r="N173" s="10"/>
      <c r="O173" s="10"/>
      <c r="P173" s="10"/>
      <c r="Q173" s="38"/>
      <c r="R173" s="10"/>
      <c r="S173" s="10"/>
      <c r="T173" s="10"/>
      <c r="U173" s="10"/>
      <c r="V173" s="10"/>
      <c r="Z173" s="10"/>
    </row>
    <row r="174" spans="5:26" x14ac:dyDescent="0.15">
      <c r="E174" s="10"/>
      <c r="F174" s="10"/>
      <c r="G174" s="10"/>
      <c r="H174" s="10"/>
      <c r="I174" s="10"/>
      <c r="J174" s="10"/>
      <c r="K174" s="10"/>
      <c r="L174" s="10"/>
      <c r="M174" s="10"/>
      <c r="N174" s="10"/>
      <c r="O174" s="10"/>
      <c r="P174" s="10"/>
      <c r="Q174" s="38"/>
      <c r="R174" s="10"/>
      <c r="S174" s="10"/>
      <c r="T174" s="10"/>
      <c r="U174" s="10"/>
      <c r="V174" s="10"/>
      <c r="Z174" s="10"/>
    </row>
    <row r="175" spans="5:26" x14ac:dyDescent="0.15">
      <c r="E175" s="10"/>
      <c r="F175" s="10"/>
      <c r="G175" s="10"/>
      <c r="H175" s="10"/>
      <c r="I175" s="10"/>
      <c r="J175" s="10"/>
      <c r="K175" s="10"/>
      <c r="L175" s="10"/>
      <c r="M175" s="10"/>
      <c r="N175" s="10"/>
      <c r="O175" s="10"/>
      <c r="P175" s="10"/>
      <c r="Q175" s="38"/>
      <c r="R175" s="10"/>
      <c r="S175" s="10"/>
      <c r="T175" s="10"/>
      <c r="U175" s="10"/>
      <c r="V175" s="10"/>
      <c r="Z175" s="10"/>
    </row>
    <row r="176" spans="5:26" x14ac:dyDescent="0.15">
      <c r="E176" s="10"/>
      <c r="F176" s="10"/>
      <c r="G176" s="10"/>
      <c r="H176" s="10"/>
      <c r="I176" s="10"/>
      <c r="J176" s="10"/>
      <c r="K176" s="10"/>
      <c r="L176" s="10"/>
      <c r="M176" s="10"/>
      <c r="N176" s="10"/>
      <c r="O176" s="10"/>
      <c r="P176" s="10"/>
      <c r="Q176" s="38"/>
      <c r="R176" s="10"/>
      <c r="S176" s="10"/>
      <c r="T176" s="10"/>
      <c r="U176" s="10"/>
      <c r="V176" s="10"/>
      <c r="Z176" s="10"/>
    </row>
    <row r="177" spans="5:26" x14ac:dyDescent="0.15">
      <c r="E177" s="10"/>
      <c r="F177" s="10"/>
      <c r="G177" s="10"/>
      <c r="H177" s="10"/>
      <c r="I177" s="10"/>
      <c r="J177" s="10"/>
      <c r="K177" s="10"/>
      <c r="L177" s="10"/>
      <c r="M177" s="10"/>
      <c r="N177" s="10"/>
      <c r="O177" s="10"/>
      <c r="P177" s="10"/>
      <c r="Q177" s="38"/>
      <c r="R177" s="10"/>
      <c r="S177" s="10"/>
      <c r="T177" s="10"/>
      <c r="U177" s="10"/>
      <c r="V177" s="10"/>
      <c r="Z177" s="10"/>
    </row>
    <row r="178" spans="5:26" x14ac:dyDescent="0.15">
      <c r="E178" s="10"/>
      <c r="F178" s="10"/>
      <c r="G178" s="10"/>
      <c r="H178" s="10"/>
      <c r="I178" s="10"/>
      <c r="J178" s="10"/>
      <c r="K178" s="10"/>
      <c r="L178" s="10"/>
      <c r="M178" s="10"/>
      <c r="N178" s="10"/>
      <c r="O178" s="10"/>
      <c r="P178" s="10"/>
      <c r="Q178" s="38"/>
      <c r="R178" s="10"/>
      <c r="S178" s="10"/>
      <c r="T178" s="10"/>
      <c r="U178" s="10"/>
      <c r="V178" s="10"/>
      <c r="Z178" s="10"/>
    </row>
    <row r="179" spans="5:26" x14ac:dyDescent="0.15">
      <c r="E179" s="10"/>
      <c r="F179" s="10"/>
      <c r="G179" s="10"/>
      <c r="H179" s="10"/>
      <c r="I179" s="10"/>
      <c r="J179" s="10"/>
      <c r="K179" s="10"/>
      <c r="L179" s="10"/>
      <c r="M179" s="10"/>
      <c r="N179" s="10"/>
      <c r="O179" s="10"/>
      <c r="P179" s="10"/>
      <c r="Q179" s="38"/>
      <c r="R179" s="10"/>
      <c r="S179" s="10"/>
      <c r="T179" s="10"/>
      <c r="U179" s="10"/>
      <c r="V179" s="10"/>
      <c r="Z179" s="10"/>
    </row>
    <row r="180" spans="5:26" x14ac:dyDescent="0.15">
      <c r="E180" s="10"/>
      <c r="F180" s="10"/>
      <c r="G180" s="10"/>
      <c r="H180" s="10"/>
      <c r="I180" s="10"/>
      <c r="J180" s="10"/>
      <c r="K180" s="10"/>
      <c r="L180" s="10"/>
      <c r="M180" s="10"/>
      <c r="N180" s="10"/>
      <c r="O180" s="10"/>
      <c r="P180" s="10"/>
      <c r="Q180" s="38"/>
      <c r="R180" s="10"/>
      <c r="S180" s="10"/>
      <c r="T180" s="10"/>
      <c r="U180" s="10"/>
      <c r="V180" s="10"/>
      <c r="Z180" s="10"/>
    </row>
    <row r="181" spans="5:26" x14ac:dyDescent="0.15">
      <c r="E181" s="10"/>
      <c r="F181" s="10"/>
      <c r="G181" s="10"/>
      <c r="H181" s="10"/>
      <c r="I181" s="10"/>
      <c r="J181" s="10"/>
      <c r="K181" s="10"/>
      <c r="L181" s="10"/>
      <c r="M181" s="10"/>
      <c r="N181" s="10"/>
      <c r="O181" s="10"/>
      <c r="P181" s="10"/>
      <c r="Q181" s="38"/>
      <c r="R181" s="10"/>
      <c r="S181" s="10"/>
      <c r="T181" s="10"/>
      <c r="U181" s="10"/>
      <c r="V181" s="10"/>
      <c r="Z181" s="10"/>
    </row>
    <row r="182" spans="5:26" x14ac:dyDescent="0.15">
      <c r="E182" s="10"/>
      <c r="F182" s="10"/>
      <c r="G182" s="10"/>
      <c r="H182" s="10"/>
      <c r="I182" s="10"/>
      <c r="J182" s="10"/>
      <c r="K182" s="10"/>
      <c r="L182" s="10"/>
      <c r="M182" s="10"/>
      <c r="N182" s="10"/>
      <c r="O182" s="10"/>
      <c r="P182" s="10"/>
      <c r="Q182" s="38"/>
      <c r="R182" s="10"/>
      <c r="S182" s="10"/>
      <c r="T182" s="10"/>
      <c r="U182" s="10"/>
      <c r="V182" s="10"/>
      <c r="Z182" s="10"/>
    </row>
    <row r="183" spans="5:26" x14ac:dyDescent="0.15">
      <c r="E183" s="10"/>
      <c r="F183" s="10"/>
      <c r="G183" s="10"/>
      <c r="H183" s="10"/>
      <c r="I183" s="10"/>
      <c r="J183" s="10"/>
      <c r="K183" s="10"/>
      <c r="L183" s="10"/>
      <c r="M183" s="10"/>
      <c r="N183" s="10"/>
      <c r="O183" s="10"/>
      <c r="P183" s="10"/>
      <c r="Q183" s="38"/>
      <c r="R183" s="10"/>
      <c r="S183" s="10"/>
      <c r="T183" s="10"/>
      <c r="U183" s="10"/>
      <c r="V183" s="10"/>
      <c r="Z183" s="10"/>
    </row>
    <row r="184" spans="5:26" x14ac:dyDescent="0.15">
      <c r="E184" s="10"/>
      <c r="F184" s="10"/>
      <c r="G184" s="10"/>
      <c r="H184" s="10"/>
      <c r="I184" s="10"/>
      <c r="J184" s="10"/>
      <c r="K184" s="10"/>
      <c r="L184" s="10"/>
      <c r="M184" s="10"/>
      <c r="N184" s="10"/>
      <c r="O184" s="10"/>
      <c r="P184" s="10"/>
      <c r="Q184" s="38"/>
      <c r="R184" s="10"/>
      <c r="S184" s="10"/>
      <c r="T184" s="10"/>
      <c r="U184" s="10"/>
      <c r="V184" s="10"/>
      <c r="Z184" s="10"/>
    </row>
    <row r="185" spans="5:26" x14ac:dyDescent="0.15">
      <c r="E185" s="10"/>
      <c r="F185" s="10"/>
      <c r="G185" s="10"/>
      <c r="H185" s="10"/>
      <c r="I185" s="10"/>
      <c r="J185" s="10"/>
      <c r="K185" s="10"/>
      <c r="L185" s="10"/>
      <c r="M185" s="10"/>
      <c r="N185" s="10"/>
      <c r="O185" s="10"/>
      <c r="P185" s="10"/>
      <c r="Q185" s="38"/>
      <c r="R185" s="10"/>
      <c r="S185" s="10"/>
      <c r="T185" s="10"/>
      <c r="U185" s="10"/>
      <c r="V185" s="10"/>
      <c r="Z185" s="10"/>
    </row>
    <row r="186" spans="5:26" x14ac:dyDescent="0.15">
      <c r="E186" s="10"/>
      <c r="F186" s="10"/>
      <c r="G186" s="10"/>
      <c r="H186" s="10"/>
      <c r="I186" s="10"/>
      <c r="J186" s="10"/>
      <c r="K186" s="10"/>
      <c r="L186" s="10"/>
      <c r="M186" s="10"/>
      <c r="N186" s="10"/>
      <c r="O186" s="10"/>
      <c r="P186" s="10"/>
      <c r="Q186" s="38"/>
      <c r="R186" s="10"/>
      <c r="S186" s="10"/>
      <c r="T186" s="10"/>
      <c r="U186" s="10"/>
      <c r="V186" s="10"/>
      <c r="Z186" s="10"/>
    </row>
    <row r="187" spans="5:26" x14ac:dyDescent="0.15">
      <c r="E187" s="10"/>
      <c r="F187" s="10"/>
      <c r="G187" s="10"/>
      <c r="H187" s="10"/>
      <c r="I187" s="10"/>
      <c r="J187" s="10"/>
      <c r="K187" s="10"/>
      <c r="L187" s="10"/>
      <c r="M187" s="10"/>
      <c r="N187" s="10"/>
      <c r="O187" s="10"/>
      <c r="P187" s="10"/>
      <c r="Q187" s="38"/>
      <c r="R187" s="10"/>
      <c r="S187" s="10"/>
      <c r="T187" s="10"/>
      <c r="U187" s="10"/>
      <c r="V187" s="10"/>
      <c r="Z187" s="10"/>
    </row>
    <row r="188" spans="5:26" x14ac:dyDescent="0.15">
      <c r="E188" s="10"/>
      <c r="F188" s="10"/>
      <c r="G188" s="10"/>
      <c r="H188" s="10"/>
      <c r="I188" s="10"/>
      <c r="J188" s="10"/>
      <c r="K188" s="10"/>
      <c r="L188" s="10"/>
      <c r="M188" s="10"/>
      <c r="N188" s="10"/>
      <c r="O188" s="10"/>
      <c r="P188" s="10"/>
      <c r="Q188" s="38"/>
      <c r="R188" s="10"/>
      <c r="S188" s="10"/>
      <c r="T188" s="10"/>
      <c r="U188" s="10"/>
      <c r="V188" s="10"/>
      <c r="Z188" s="10"/>
    </row>
    <row r="189" spans="5:26" x14ac:dyDescent="0.15">
      <c r="E189" s="10"/>
      <c r="F189" s="10"/>
      <c r="G189" s="10"/>
      <c r="H189" s="10"/>
      <c r="I189" s="10"/>
      <c r="J189" s="10"/>
      <c r="K189" s="10"/>
      <c r="L189" s="10"/>
      <c r="M189" s="10"/>
      <c r="N189" s="10"/>
      <c r="O189" s="10"/>
      <c r="P189" s="10"/>
      <c r="Q189" s="38"/>
      <c r="R189" s="10"/>
      <c r="S189" s="10"/>
      <c r="T189" s="10"/>
      <c r="U189" s="10"/>
      <c r="V189" s="10"/>
      <c r="Z189" s="10"/>
    </row>
    <row r="190" spans="5:26" x14ac:dyDescent="0.15">
      <c r="E190" s="10"/>
      <c r="F190" s="10"/>
      <c r="G190" s="10"/>
      <c r="H190" s="10"/>
      <c r="I190" s="10"/>
      <c r="J190" s="10"/>
      <c r="K190" s="10"/>
      <c r="L190" s="10"/>
      <c r="M190" s="10"/>
      <c r="N190" s="10"/>
      <c r="O190" s="10"/>
      <c r="P190" s="10"/>
      <c r="Q190" s="38"/>
      <c r="R190" s="10"/>
      <c r="S190" s="10"/>
      <c r="T190" s="10"/>
      <c r="U190" s="10"/>
      <c r="V190" s="10"/>
      <c r="Z190" s="10"/>
    </row>
    <row r="191" spans="5:26" x14ac:dyDescent="0.15">
      <c r="E191" s="10"/>
      <c r="F191" s="10"/>
      <c r="G191" s="10"/>
      <c r="H191" s="10"/>
      <c r="I191" s="10"/>
      <c r="J191" s="10"/>
      <c r="K191" s="10"/>
      <c r="L191" s="10"/>
      <c r="M191" s="10"/>
      <c r="N191" s="10"/>
      <c r="O191" s="10"/>
      <c r="P191" s="10"/>
      <c r="Q191" s="38"/>
      <c r="R191" s="10"/>
      <c r="S191" s="10"/>
      <c r="T191" s="10"/>
      <c r="U191" s="10"/>
      <c r="V191" s="10"/>
      <c r="Z191" s="10"/>
    </row>
    <row r="192" spans="5:26" x14ac:dyDescent="0.15">
      <c r="E192" s="10"/>
      <c r="F192" s="10"/>
      <c r="G192" s="10"/>
      <c r="H192" s="10"/>
      <c r="I192" s="10"/>
      <c r="J192" s="10"/>
      <c r="K192" s="10"/>
      <c r="L192" s="10"/>
      <c r="M192" s="10"/>
      <c r="N192" s="10"/>
      <c r="O192" s="10"/>
      <c r="P192" s="10"/>
      <c r="Q192" s="38"/>
      <c r="R192" s="10"/>
      <c r="S192" s="10"/>
      <c r="T192" s="10"/>
      <c r="U192" s="10"/>
      <c r="V192" s="10"/>
      <c r="Z192" s="10"/>
    </row>
    <row r="193" spans="5:26" x14ac:dyDescent="0.15">
      <c r="E193" s="10"/>
      <c r="F193" s="10"/>
      <c r="G193" s="10"/>
      <c r="H193" s="10"/>
      <c r="I193" s="10"/>
      <c r="J193" s="10"/>
      <c r="K193" s="10"/>
      <c r="L193" s="10"/>
      <c r="M193" s="10"/>
      <c r="N193" s="10"/>
      <c r="O193" s="10"/>
      <c r="P193" s="10"/>
      <c r="Q193" s="38"/>
      <c r="R193" s="10"/>
      <c r="S193" s="10"/>
      <c r="T193" s="10"/>
      <c r="U193" s="10"/>
      <c r="V193" s="10"/>
      <c r="Z193" s="10"/>
    </row>
    <row r="194" spans="5:26" x14ac:dyDescent="0.15">
      <c r="E194" s="10"/>
      <c r="F194" s="10"/>
      <c r="G194" s="10"/>
      <c r="H194" s="10"/>
      <c r="I194" s="10"/>
      <c r="J194" s="10"/>
      <c r="K194" s="10"/>
      <c r="L194" s="10"/>
      <c r="M194" s="10"/>
      <c r="N194" s="10"/>
      <c r="O194" s="10"/>
      <c r="P194" s="10"/>
      <c r="Q194" s="38"/>
      <c r="R194" s="10"/>
      <c r="S194" s="10"/>
      <c r="T194" s="10"/>
      <c r="U194" s="10"/>
      <c r="V194" s="10"/>
      <c r="Z194" s="10"/>
    </row>
    <row r="195" spans="5:26" x14ac:dyDescent="0.15">
      <c r="E195" s="10"/>
      <c r="F195" s="10"/>
      <c r="G195" s="10"/>
      <c r="H195" s="10"/>
      <c r="I195" s="10"/>
      <c r="J195" s="10"/>
      <c r="K195" s="10"/>
      <c r="L195" s="10"/>
      <c r="M195" s="10"/>
      <c r="N195" s="10"/>
      <c r="O195" s="10"/>
      <c r="P195" s="10"/>
      <c r="Q195" s="38"/>
      <c r="R195" s="10"/>
      <c r="S195" s="10"/>
      <c r="T195" s="10"/>
      <c r="U195" s="10"/>
      <c r="V195" s="10"/>
      <c r="Z195" s="10"/>
    </row>
    <row r="196" spans="5:26" x14ac:dyDescent="0.15">
      <c r="E196" s="10"/>
      <c r="F196" s="10"/>
      <c r="G196" s="10"/>
      <c r="H196" s="10"/>
      <c r="I196" s="10"/>
      <c r="J196" s="10"/>
      <c r="K196" s="10"/>
      <c r="L196" s="10"/>
      <c r="M196" s="10"/>
      <c r="N196" s="10"/>
      <c r="O196" s="10"/>
      <c r="P196" s="10"/>
      <c r="Q196" s="38"/>
      <c r="R196" s="10"/>
      <c r="S196" s="10"/>
      <c r="T196" s="10"/>
      <c r="U196" s="10"/>
      <c r="V196" s="10"/>
      <c r="Z196" s="10"/>
    </row>
    <row r="197" spans="5:26" x14ac:dyDescent="0.15">
      <c r="E197" s="10"/>
      <c r="F197" s="10"/>
      <c r="G197" s="10"/>
      <c r="H197" s="10"/>
      <c r="I197" s="10"/>
      <c r="J197" s="10"/>
      <c r="K197" s="10"/>
      <c r="L197" s="10"/>
      <c r="M197" s="10"/>
      <c r="N197" s="10"/>
      <c r="O197" s="10"/>
      <c r="P197" s="10"/>
      <c r="Q197" s="38"/>
      <c r="R197" s="10"/>
      <c r="S197" s="10"/>
      <c r="T197" s="10"/>
      <c r="U197" s="10"/>
      <c r="V197" s="10"/>
      <c r="Z197" s="10"/>
    </row>
    <row r="198" spans="5:26" x14ac:dyDescent="0.15">
      <c r="E198" s="10"/>
      <c r="F198" s="10"/>
      <c r="G198" s="10"/>
      <c r="H198" s="10"/>
      <c r="I198" s="10"/>
      <c r="J198" s="10"/>
      <c r="K198" s="10"/>
      <c r="L198" s="10"/>
      <c r="M198" s="10"/>
      <c r="N198" s="10"/>
      <c r="O198" s="10"/>
      <c r="P198" s="10"/>
      <c r="Q198" s="38"/>
      <c r="R198" s="10"/>
      <c r="S198" s="10"/>
      <c r="T198" s="10"/>
      <c r="U198" s="10"/>
      <c r="V198" s="10"/>
      <c r="Z198" s="10"/>
    </row>
    <row r="199" spans="5:26" x14ac:dyDescent="0.15">
      <c r="E199" s="10"/>
      <c r="F199" s="10"/>
      <c r="G199" s="10"/>
      <c r="H199" s="10"/>
      <c r="I199" s="10"/>
      <c r="J199" s="10"/>
      <c r="K199" s="10"/>
      <c r="L199" s="10"/>
      <c r="M199" s="10"/>
      <c r="N199" s="10"/>
      <c r="O199" s="10"/>
      <c r="P199" s="10"/>
      <c r="Q199" s="38"/>
      <c r="R199" s="10"/>
      <c r="S199" s="10"/>
      <c r="T199" s="10"/>
      <c r="U199" s="10"/>
      <c r="V199" s="10"/>
      <c r="Z199" s="10"/>
    </row>
    <row r="200" spans="5:26" x14ac:dyDescent="0.15">
      <c r="E200" s="10"/>
      <c r="F200" s="10"/>
      <c r="G200" s="10"/>
      <c r="H200" s="10"/>
      <c r="I200" s="10"/>
      <c r="J200" s="10"/>
      <c r="K200" s="10"/>
      <c r="L200" s="10"/>
      <c r="M200" s="10"/>
      <c r="N200" s="10"/>
      <c r="O200" s="10"/>
      <c r="P200" s="10"/>
      <c r="Q200" s="38"/>
      <c r="R200" s="10"/>
      <c r="S200" s="10"/>
      <c r="T200" s="10"/>
      <c r="U200" s="10"/>
      <c r="V200" s="10"/>
      <c r="Z200" s="10"/>
    </row>
    <row r="201" spans="5:26" x14ac:dyDescent="0.15">
      <c r="E201" s="10"/>
      <c r="F201" s="10"/>
      <c r="G201" s="10"/>
      <c r="H201" s="10"/>
      <c r="I201" s="10"/>
      <c r="J201" s="10"/>
      <c r="K201" s="10"/>
      <c r="L201" s="10"/>
      <c r="M201" s="10"/>
      <c r="N201" s="10"/>
      <c r="O201" s="10"/>
      <c r="P201" s="10"/>
      <c r="Q201" s="38"/>
      <c r="R201" s="10"/>
      <c r="S201" s="10"/>
      <c r="T201" s="10"/>
      <c r="U201" s="10"/>
      <c r="V201" s="10"/>
      <c r="Z201" s="10"/>
    </row>
    <row r="202" spans="5:26" x14ac:dyDescent="0.15">
      <c r="E202" s="10"/>
      <c r="F202" s="10"/>
      <c r="G202" s="10"/>
      <c r="H202" s="10"/>
      <c r="I202" s="10"/>
      <c r="J202" s="10"/>
      <c r="K202" s="10"/>
      <c r="L202" s="10"/>
      <c r="M202" s="10"/>
      <c r="N202" s="10"/>
      <c r="O202" s="10"/>
      <c r="P202" s="10"/>
      <c r="Q202" s="38"/>
      <c r="R202" s="10"/>
      <c r="S202" s="10"/>
      <c r="T202" s="10"/>
      <c r="U202" s="10"/>
      <c r="V202" s="10"/>
      <c r="Z202" s="10"/>
    </row>
    <row r="203" spans="5:26" x14ac:dyDescent="0.15">
      <c r="E203" s="10"/>
      <c r="F203" s="10"/>
      <c r="G203" s="10"/>
      <c r="H203" s="10"/>
      <c r="I203" s="10"/>
      <c r="J203" s="10"/>
      <c r="K203" s="10"/>
      <c r="L203" s="10"/>
      <c r="M203" s="10"/>
      <c r="N203" s="10"/>
      <c r="O203" s="10"/>
      <c r="P203" s="10"/>
      <c r="Q203" s="38"/>
      <c r="R203" s="10"/>
      <c r="S203" s="10"/>
      <c r="T203" s="10"/>
      <c r="U203" s="10"/>
      <c r="V203" s="10"/>
      <c r="Z203" s="10"/>
    </row>
    <row r="204" spans="5:26" x14ac:dyDescent="0.15">
      <c r="E204" s="10"/>
      <c r="F204" s="10"/>
      <c r="G204" s="10"/>
      <c r="H204" s="10"/>
      <c r="I204" s="10"/>
      <c r="J204" s="10"/>
      <c r="K204" s="10"/>
      <c r="L204" s="10"/>
      <c r="M204" s="10"/>
      <c r="N204" s="10"/>
      <c r="O204" s="10"/>
      <c r="P204" s="10"/>
      <c r="Q204" s="38"/>
      <c r="R204" s="10"/>
      <c r="S204" s="10"/>
      <c r="T204" s="10"/>
      <c r="U204" s="10"/>
      <c r="V204" s="10"/>
      <c r="Z204" s="10"/>
    </row>
    <row r="205" spans="5:26" x14ac:dyDescent="0.15">
      <c r="E205" s="10"/>
      <c r="F205" s="10"/>
      <c r="G205" s="10"/>
      <c r="H205" s="10"/>
      <c r="I205" s="10"/>
      <c r="J205" s="10"/>
      <c r="K205" s="10"/>
      <c r="L205" s="10"/>
      <c r="M205" s="10"/>
      <c r="N205" s="10"/>
      <c r="O205" s="10"/>
      <c r="P205" s="10"/>
      <c r="Q205" s="38"/>
      <c r="R205" s="10"/>
      <c r="S205" s="10"/>
      <c r="T205" s="10"/>
      <c r="U205" s="10"/>
      <c r="V205" s="10"/>
      <c r="Z205" s="10"/>
    </row>
    <row r="206" spans="5:26" x14ac:dyDescent="0.15">
      <c r="E206" s="10"/>
      <c r="F206" s="10"/>
      <c r="G206" s="10"/>
      <c r="H206" s="10"/>
      <c r="I206" s="10"/>
      <c r="J206" s="10"/>
      <c r="K206" s="10"/>
      <c r="L206" s="10"/>
      <c r="M206" s="10"/>
      <c r="N206" s="10"/>
      <c r="O206" s="10"/>
      <c r="P206" s="10"/>
      <c r="Q206" s="38"/>
      <c r="R206" s="10"/>
      <c r="S206" s="10"/>
      <c r="T206" s="10"/>
      <c r="U206" s="10"/>
      <c r="V206" s="10"/>
      <c r="Z206" s="10"/>
    </row>
    <row r="207" spans="5:26" x14ac:dyDescent="0.15">
      <c r="E207" s="10"/>
      <c r="F207" s="10"/>
      <c r="G207" s="10"/>
      <c r="H207" s="10"/>
      <c r="I207" s="10"/>
      <c r="J207" s="10"/>
      <c r="K207" s="10"/>
      <c r="L207" s="10"/>
      <c r="M207" s="10"/>
      <c r="N207" s="10"/>
      <c r="O207" s="10"/>
      <c r="P207" s="10"/>
      <c r="Q207" s="38"/>
      <c r="R207" s="10"/>
      <c r="S207" s="10"/>
      <c r="T207" s="10"/>
      <c r="U207" s="10"/>
      <c r="V207" s="10"/>
      <c r="Z207" s="10"/>
    </row>
    <row r="208" spans="5:26" x14ac:dyDescent="0.15">
      <c r="E208" s="10"/>
      <c r="F208" s="10"/>
      <c r="G208" s="10"/>
      <c r="H208" s="10"/>
      <c r="I208" s="10"/>
      <c r="J208" s="10"/>
      <c r="K208" s="10"/>
      <c r="L208" s="10"/>
      <c r="M208" s="10"/>
      <c r="N208" s="10"/>
      <c r="O208" s="10"/>
      <c r="P208" s="10"/>
      <c r="Q208" s="38"/>
      <c r="R208" s="10"/>
      <c r="S208" s="10"/>
      <c r="T208" s="10"/>
      <c r="U208" s="10"/>
      <c r="V208" s="10"/>
      <c r="Z208" s="10"/>
    </row>
    <row r="209" spans="5:26" x14ac:dyDescent="0.15">
      <c r="E209" s="10"/>
      <c r="F209" s="10"/>
      <c r="G209" s="10"/>
      <c r="H209" s="10"/>
      <c r="I209" s="10"/>
      <c r="J209" s="10"/>
      <c r="K209" s="10"/>
      <c r="L209" s="10"/>
      <c r="M209" s="10"/>
      <c r="N209" s="10"/>
      <c r="O209" s="10"/>
      <c r="P209" s="10"/>
      <c r="Q209" s="38"/>
      <c r="R209" s="10"/>
      <c r="S209" s="10"/>
      <c r="T209" s="10"/>
      <c r="U209" s="10"/>
      <c r="V209" s="10"/>
      <c r="Z209" s="10"/>
    </row>
    <row r="210" spans="5:26" x14ac:dyDescent="0.15">
      <c r="E210" s="10"/>
      <c r="F210" s="10"/>
      <c r="G210" s="10"/>
      <c r="H210" s="10"/>
      <c r="I210" s="10"/>
      <c r="J210" s="10"/>
      <c r="K210" s="10"/>
      <c r="L210" s="10"/>
      <c r="M210" s="10"/>
      <c r="N210" s="10"/>
      <c r="O210" s="10"/>
      <c r="P210" s="10"/>
      <c r="Q210" s="38"/>
      <c r="R210" s="10"/>
      <c r="S210" s="10"/>
      <c r="T210" s="10"/>
      <c r="U210" s="10"/>
      <c r="V210" s="10"/>
      <c r="Z210" s="10"/>
    </row>
    <row r="211" spans="5:26" x14ac:dyDescent="0.15">
      <c r="E211" s="10"/>
      <c r="F211" s="10"/>
      <c r="G211" s="10"/>
      <c r="H211" s="10"/>
      <c r="I211" s="10"/>
      <c r="J211" s="10"/>
      <c r="K211" s="10"/>
      <c r="L211" s="10"/>
      <c r="M211" s="10"/>
      <c r="N211" s="10"/>
      <c r="O211" s="10"/>
      <c r="P211" s="10"/>
      <c r="Q211" s="38"/>
      <c r="R211" s="10"/>
      <c r="S211" s="10"/>
      <c r="T211" s="10"/>
      <c r="U211" s="10"/>
      <c r="V211" s="10"/>
      <c r="Z211" s="10"/>
    </row>
    <row r="212" spans="5:26" x14ac:dyDescent="0.15">
      <c r="E212" s="10"/>
      <c r="F212" s="10"/>
      <c r="G212" s="10"/>
      <c r="H212" s="10"/>
      <c r="I212" s="10"/>
      <c r="J212" s="10"/>
      <c r="K212" s="10"/>
      <c r="L212" s="10"/>
      <c r="M212" s="10"/>
      <c r="N212" s="10"/>
      <c r="O212" s="10"/>
      <c r="P212" s="10"/>
      <c r="Q212" s="38"/>
      <c r="R212" s="10"/>
      <c r="S212" s="10"/>
      <c r="T212" s="10"/>
      <c r="U212" s="10"/>
      <c r="V212" s="10"/>
      <c r="Z212" s="10"/>
    </row>
    <row r="213" spans="5:26" x14ac:dyDescent="0.15">
      <c r="E213" s="10"/>
      <c r="F213" s="10"/>
      <c r="G213" s="10"/>
      <c r="H213" s="10"/>
      <c r="I213" s="10"/>
      <c r="J213" s="10"/>
      <c r="K213" s="10"/>
      <c r="L213" s="10"/>
      <c r="M213" s="10"/>
      <c r="N213" s="10"/>
      <c r="O213" s="10"/>
      <c r="P213" s="10"/>
      <c r="Q213" s="38"/>
      <c r="R213" s="10"/>
      <c r="S213" s="10"/>
      <c r="T213" s="10"/>
      <c r="U213" s="10"/>
      <c r="V213" s="10"/>
      <c r="Z213" s="10"/>
    </row>
    <row r="214" spans="5:26" x14ac:dyDescent="0.15">
      <c r="E214" s="10"/>
      <c r="F214" s="10"/>
      <c r="G214" s="10"/>
      <c r="H214" s="10"/>
      <c r="I214" s="10"/>
      <c r="J214" s="10"/>
      <c r="K214" s="10"/>
      <c r="L214" s="10"/>
      <c r="M214" s="10"/>
      <c r="N214" s="10"/>
      <c r="O214" s="10"/>
      <c r="P214" s="10"/>
      <c r="Q214" s="38"/>
      <c r="R214" s="10"/>
      <c r="S214" s="10"/>
      <c r="T214" s="10"/>
      <c r="U214" s="10"/>
      <c r="V214" s="10"/>
      <c r="Z214" s="10"/>
    </row>
    <row r="215" spans="5:26" x14ac:dyDescent="0.15">
      <c r="E215" s="10"/>
      <c r="F215" s="10"/>
      <c r="G215" s="10"/>
      <c r="H215" s="10"/>
      <c r="I215" s="10"/>
      <c r="J215" s="10"/>
      <c r="K215" s="10"/>
      <c r="L215" s="10"/>
      <c r="M215" s="10"/>
      <c r="N215" s="10"/>
      <c r="O215" s="10"/>
      <c r="P215" s="10"/>
      <c r="Q215" s="38"/>
      <c r="R215" s="10"/>
      <c r="S215" s="10"/>
      <c r="T215" s="10"/>
      <c r="U215" s="10"/>
      <c r="V215" s="10"/>
      <c r="Z215" s="10"/>
    </row>
    <row r="216" spans="5:26" x14ac:dyDescent="0.15">
      <c r="E216" s="10"/>
      <c r="F216" s="10"/>
      <c r="G216" s="10"/>
      <c r="H216" s="10"/>
      <c r="I216" s="10"/>
      <c r="J216" s="10"/>
      <c r="K216" s="10"/>
      <c r="L216" s="10"/>
      <c r="M216" s="10"/>
      <c r="N216" s="10"/>
      <c r="O216" s="10"/>
      <c r="P216" s="10"/>
      <c r="Q216" s="38"/>
      <c r="R216" s="10"/>
      <c r="S216" s="10"/>
      <c r="T216" s="10"/>
      <c r="U216" s="10"/>
      <c r="V216" s="10"/>
      <c r="Z216" s="10"/>
    </row>
    <row r="217" spans="5:26" x14ac:dyDescent="0.15">
      <c r="E217" s="10"/>
      <c r="F217" s="10"/>
      <c r="G217" s="10"/>
      <c r="H217" s="10"/>
      <c r="I217" s="10"/>
      <c r="J217" s="10"/>
      <c r="K217" s="10"/>
      <c r="L217" s="10"/>
      <c r="M217" s="10"/>
      <c r="N217" s="10"/>
      <c r="O217" s="10"/>
      <c r="P217" s="10"/>
      <c r="Q217" s="38"/>
      <c r="R217" s="10"/>
      <c r="S217" s="10"/>
      <c r="T217" s="10"/>
      <c r="U217" s="10"/>
      <c r="V217" s="10"/>
      <c r="Z217" s="10"/>
    </row>
    <row r="218" spans="5:26" x14ac:dyDescent="0.15">
      <c r="E218" s="10"/>
      <c r="F218" s="10"/>
      <c r="G218" s="10"/>
      <c r="H218" s="10"/>
      <c r="I218" s="10"/>
      <c r="J218" s="10"/>
      <c r="K218" s="10"/>
      <c r="L218" s="10"/>
      <c r="M218" s="10"/>
      <c r="N218" s="10"/>
      <c r="O218" s="10"/>
      <c r="P218" s="10"/>
      <c r="Q218" s="38"/>
      <c r="R218" s="10"/>
      <c r="S218" s="10"/>
      <c r="T218" s="10"/>
      <c r="U218" s="10"/>
      <c r="V218" s="10"/>
      <c r="Z218" s="10"/>
    </row>
    <row r="219" spans="5:26" x14ac:dyDescent="0.15">
      <c r="E219" s="10"/>
      <c r="F219" s="10"/>
      <c r="G219" s="10"/>
      <c r="H219" s="10"/>
      <c r="I219" s="10"/>
      <c r="J219" s="10"/>
      <c r="K219" s="10"/>
      <c r="L219" s="10"/>
      <c r="M219" s="10"/>
      <c r="N219" s="10"/>
      <c r="O219" s="10"/>
      <c r="P219" s="10"/>
      <c r="Q219" s="38"/>
      <c r="R219" s="10"/>
      <c r="S219" s="10"/>
      <c r="T219" s="10"/>
      <c r="U219" s="10"/>
      <c r="V219" s="10"/>
      <c r="Z219" s="10"/>
    </row>
    <row r="220" spans="5:26" x14ac:dyDescent="0.15">
      <c r="E220" s="10"/>
      <c r="F220" s="10"/>
      <c r="G220" s="10"/>
      <c r="H220" s="10"/>
      <c r="I220" s="10"/>
      <c r="J220" s="10"/>
      <c r="K220" s="10"/>
      <c r="L220" s="10"/>
      <c r="M220" s="10"/>
      <c r="N220" s="10"/>
      <c r="O220" s="10"/>
      <c r="P220" s="10"/>
      <c r="Q220" s="38"/>
      <c r="R220" s="10"/>
      <c r="S220" s="10"/>
      <c r="T220" s="10"/>
      <c r="U220" s="10"/>
      <c r="V220" s="10"/>
      <c r="Z220" s="10"/>
    </row>
    <row r="221" spans="5:26" x14ac:dyDescent="0.15">
      <c r="E221" s="10"/>
      <c r="F221" s="10"/>
      <c r="G221" s="10"/>
      <c r="H221" s="10"/>
      <c r="I221" s="10"/>
      <c r="J221" s="10"/>
      <c r="K221" s="10"/>
      <c r="L221" s="10"/>
      <c r="M221" s="10"/>
      <c r="N221" s="10"/>
      <c r="O221" s="10"/>
      <c r="P221" s="10"/>
      <c r="Q221" s="38"/>
      <c r="R221" s="10"/>
      <c r="S221" s="10"/>
      <c r="T221" s="10"/>
      <c r="U221" s="10"/>
      <c r="V221" s="10"/>
      <c r="Z221" s="10"/>
    </row>
    <row r="222" spans="5:26" x14ac:dyDescent="0.15">
      <c r="E222" s="10"/>
      <c r="F222" s="10"/>
      <c r="G222" s="10"/>
      <c r="H222" s="10"/>
      <c r="I222" s="10"/>
      <c r="J222" s="10"/>
      <c r="K222" s="10"/>
      <c r="L222" s="10"/>
      <c r="M222" s="10"/>
      <c r="N222" s="10"/>
      <c r="O222" s="10"/>
      <c r="P222" s="10"/>
      <c r="Q222" s="38"/>
      <c r="R222" s="10"/>
      <c r="S222" s="10"/>
      <c r="T222" s="10"/>
      <c r="U222" s="10"/>
      <c r="V222" s="10"/>
      <c r="Z222" s="10"/>
    </row>
    <row r="223" spans="5:26" x14ac:dyDescent="0.15">
      <c r="E223" s="10"/>
      <c r="F223" s="10"/>
      <c r="G223" s="10"/>
      <c r="H223" s="10"/>
      <c r="I223" s="10"/>
      <c r="J223" s="10"/>
      <c r="K223" s="10"/>
      <c r="L223" s="10"/>
      <c r="M223" s="10"/>
      <c r="N223" s="10"/>
      <c r="O223" s="10"/>
      <c r="P223" s="10"/>
      <c r="Q223" s="38"/>
      <c r="R223" s="10"/>
      <c r="S223" s="10"/>
      <c r="T223" s="10"/>
      <c r="U223" s="10"/>
      <c r="V223" s="10"/>
      <c r="Z223" s="10"/>
    </row>
    <row r="224" spans="5:26" x14ac:dyDescent="0.15">
      <c r="E224" s="10"/>
      <c r="F224" s="10"/>
      <c r="G224" s="10"/>
      <c r="H224" s="10"/>
      <c r="I224" s="10"/>
      <c r="J224" s="10"/>
      <c r="K224" s="10"/>
      <c r="L224" s="10"/>
      <c r="M224" s="10"/>
      <c r="N224" s="10"/>
      <c r="O224" s="10"/>
      <c r="P224" s="10"/>
      <c r="Q224" s="38"/>
      <c r="R224" s="38"/>
      <c r="S224" s="10"/>
      <c r="T224" s="10"/>
      <c r="U224" s="10"/>
      <c r="V224" s="10"/>
      <c r="Z224" s="10"/>
    </row>
    <row r="225" spans="5:26" x14ac:dyDescent="0.15">
      <c r="E225" s="10"/>
      <c r="F225" s="10"/>
      <c r="G225" s="10"/>
      <c r="H225" s="10"/>
      <c r="I225" s="10"/>
      <c r="J225" s="10"/>
      <c r="K225" s="10"/>
      <c r="L225" s="10"/>
      <c r="M225" s="10"/>
      <c r="N225" s="10"/>
      <c r="O225" s="10"/>
      <c r="P225" s="10"/>
      <c r="Q225" s="38"/>
      <c r="R225" s="38"/>
      <c r="S225" s="10"/>
      <c r="T225" s="10"/>
      <c r="U225" s="10"/>
      <c r="V225" s="10"/>
      <c r="Z225" s="10"/>
    </row>
    <row r="226" spans="5:26" x14ac:dyDescent="0.15">
      <c r="E226" s="10"/>
      <c r="F226" s="10"/>
      <c r="G226" s="10"/>
      <c r="H226" s="10"/>
      <c r="I226" s="10"/>
      <c r="J226" s="10"/>
      <c r="K226" s="10"/>
      <c r="L226" s="10"/>
      <c r="M226" s="10"/>
      <c r="N226" s="10"/>
      <c r="O226" s="10"/>
      <c r="P226" s="10"/>
      <c r="Q226" s="38"/>
      <c r="R226" s="38"/>
      <c r="S226" s="10"/>
      <c r="T226" s="10"/>
      <c r="U226" s="10"/>
      <c r="V226" s="10"/>
      <c r="Z226" s="10"/>
    </row>
    <row r="227" spans="5:26" x14ac:dyDescent="0.15">
      <c r="E227" s="10"/>
      <c r="F227" s="10"/>
      <c r="G227" s="10"/>
      <c r="H227" s="10"/>
      <c r="I227" s="10"/>
      <c r="J227" s="10"/>
      <c r="K227" s="10"/>
      <c r="L227" s="10"/>
      <c r="M227" s="10"/>
      <c r="N227" s="10"/>
      <c r="O227" s="10"/>
      <c r="P227" s="10"/>
      <c r="Q227" s="38"/>
      <c r="R227" s="38"/>
      <c r="S227" s="10"/>
      <c r="T227" s="10"/>
      <c r="U227" s="10"/>
      <c r="V227" s="10"/>
      <c r="Z227" s="10"/>
    </row>
    <row r="228" spans="5:26" x14ac:dyDescent="0.15">
      <c r="E228" s="10"/>
      <c r="F228" s="10"/>
      <c r="G228" s="10"/>
      <c r="H228" s="10"/>
      <c r="I228" s="10"/>
      <c r="J228" s="10"/>
      <c r="K228" s="10"/>
      <c r="L228" s="10"/>
      <c r="M228" s="10"/>
      <c r="N228" s="10"/>
      <c r="O228" s="10"/>
      <c r="P228" s="10"/>
      <c r="Q228" s="38"/>
      <c r="R228" s="38"/>
      <c r="S228" s="10"/>
      <c r="T228" s="10"/>
      <c r="U228" s="10"/>
      <c r="V228" s="10"/>
      <c r="W228" s="10"/>
      <c r="X228" s="10"/>
      <c r="Y228" s="10"/>
      <c r="Z228" s="10"/>
    </row>
    <row r="229" spans="5:26" x14ac:dyDescent="0.15">
      <c r="E229" s="10"/>
      <c r="F229" s="10"/>
      <c r="G229" s="10"/>
      <c r="H229" s="10"/>
      <c r="I229" s="10"/>
      <c r="J229" s="10"/>
      <c r="K229" s="10"/>
      <c r="L229" s="10"/>
      <c r="M229" s="10"/>
      <c r="N229" s="10"/>
      <c r="O229" s="10"/>
      <c r="P229" s="10"/>
      <c r="Q229" s="38"/>
      <c r="R229" s="38"/>
      <c r="S229" s="10"/>
      <c r="T229" s="10"/>
      <c r="U229" s="10"/>
      <c r="V229" s="10"/>
      <c r="W229" s="10"/>
      <c r="X229" s="10"/>
      <c r="Y229" s="10"/>
      <c r="Z229" s="10"/>
    </row>
    <row r="230" spans="5:26" x14ac:dyDescent="0.15">
      <c r="E230" s="10"/>
      <c r="F230" s="10"/>
      <c r="G230" s="10"/>
      <c r="H230" s="10"/>
      <c r="I230" s="10"/>
      <c r="J230" s="10"/>
      <c r="K230" s="10"/>
      <c r="L230" s="10"/>
      <c r="M230" s="10"/>
      <c r="N230" s="10"/>
      <c r="O230" s="10"/>
      <c r="P230" s="10"/>
      <c r="Q230" s="38"/>
      <c r="R230" s="38"/>
      <c r="S230" s="10"/>
      <c r="T230" s="10"/>
      <c r="U230" s="10"/>
      <c r="V230" s="10"/>
      <c r="W230" s="10"/>
      <c r="X230" s="10"/>
      <c r="Y230" s="10"/>
      <c r="Z230" s="10"/>
    </row>
    <row r="231" spans="5:26" x14ac:dyDescent="0.15">
      <c r="E231" s="10"/>
      <c r="F231" s="10"/>
      <c r="G231" s="10"/>
      <c r="H231" s="10"/>
      <c r="I231" s="10"/>
      <c r="J231" s="10"/>
      <c r="K231" s="10"/>
      <c r="L231" s="10"/>
      <c r="M231" s="10"/>
      <c r="N231" s="10"/>
      <c r="O231" s="10"/>
      <c r="P231" s="10"/>
      <c r="Q231" s="38"/>
      <c r="R231" s="38"/>
      <c r="S231" s="10"/>
      <c r="T231" s="10"/>
      <c r="U231" s="10"/>
      <c r="V231" s="10"/>
      <c r="W231" s="10"/>
      <c r="X231" s="10"/>
      <c r="Y231" s="10"/>
      <c r="Z231" s="10"/>
    </row>
    <row r="232" spans="5:26" x14ac:dyDescent="0.15">
      <c r="E232" s="10"/>
      <c r="F232" s="10"/>
      <c r="G232" s="10"/>
      <c r="H232" s="10"/>
      <c r="I232" s="10"/>
      <c r="J232" s="10"/>
      <c r="K232" s="10"/>
      <c r="L232" s="10"/>
      <c r="M232" s="10"/>
      <c r="N232" s="10"/>
      <c r="O232" s="10"/>
      <c r="P232" s="10"/>
      <c r="Q232" s="38"/>
      <c r="R232" s="38"/>
      <c r="S232" s="10"/>
      <c r="T232" s="10"/>
      <c r="U232" s="10"/>
      <c r="V232" s="10"/>
      <c r="W232" s="10"/>
      <c r="X232" s="10"/>
      <c r="Y232" s="10"/>
      <c r="Z232" s="10"/>
    </row>
    <row r="233" spans="5:26" x14ac:dyDescent="0.15">
      <c r="E233" s="10"/>
      <c r="F233" s="10"/>
      <c r="G233" s="10"/>
      <c r="H233" s="10"/>
      <c r="I233" s="10"/>
      <c r="J233" s="10"/>
      <c r="K233" s="10"/>
      <c r="L233" s="10"/>
      <c r="M233" s="10"/>
      <c r="N233" s="10"/>
      <c r="O233" s="10"/>
      <c r="P233" s="10"/>
      <c r="Q233" s="38"/>
      <c r="R233" s="38"/>
      <c r="S233" s="10"/>
      <c r="T233" s="10"/>
      <c r="U233" s="10"/>
      <c r="V233" s="10"/>
      <c r="W233" s="10"/>
      <c r="X233" s="10"/>
      <c r="Y233" s="10"/>
      <c r="Z233" s="10"/>
    </row>
    <row r="234" spans="5:26" x14ac:dyDescent="0.15">
      <c r="E234" s="10"/>
      <c r="F234" s="10"/>
      <c r="G234" s="10"/>
      <c r="H234" s="10"/>
      <c r="I234" s="10"/>
      <c r="J234" s="10"/>
      <c r="K234" s="10"/>
      <c r="L234" s="10"/>
      <c r="M234" s="10"/>
      <c r="N234" s="10"/>
      <c r="O234" s="10"/>
      <c r="P234" s="10"/>
      <c r="Q234" s="38"/>
      <c r="R234" s="38"/>
      <c r="S234" s="10"/>
      <c r="T234" s="10"/>
      <c r="U234" s="10"/>
      <c r="V234" s="10"/>
      <c r="W234" s="10"/>
      <c r="X234" s="10"/>
      <c r="Y234" s="10"/>
      <c r="Z234" s="10"/>
    </row>
    <row r="235" spans="5:26" x14ac:dyDescent="0.15">
      <c r="E235" s="10"/>
      <c r="F235" s="10"/>
      <c r="G235" s="10"/>
      <c r="H235" s="10"/>
      <c r="I235" s="10"/>
      <c r="J235" s="10"/>
      <c r="K235" s="10"/>
      <c r="L235" s="10"/>
      <c r="M235" s="10"/>
      <c r="N235" s="10"/>
      <c r="O235" s="10"/>
      <c r="P235" s="10"/>
      <c r="Q235" s="38"/>
      <c r="R235" s="38"/>
      <c r="S235" s="10"/>
      <c r="T235" s="10"/>
      <c r="U235" s="10"/>
      <c r="V235" s="10"/>
      <c r="W235" s="10"/>
      <c r="X235" s="10"/>
      <c r="Y235" s="10"/>
      <c r="Z235" s="10"/>
    </row>
    <row r="236" spans="5:26" x14ac:dyDescent="0.15">
      <c r="E236" s="10"/>
      <c r="F236" s="10"/>
      <c r="G236" s="10"/>
      <c r="H236" s="10"/>
      <c r="I236" s="10"/>
      <c r="J236" s="10"/>
      <c r="K236" s="10"/>
      <c r="L236" s="10"/>
      <c r="M236" s="10"/>
      <c r="N236" s="10"/>
      <c r="O236" s="10"/>
      <c r="P236" s="10"/>
      <c r="Q236" s="38"/>
      <c r="R236" s="38"/>
      <c r="S236" s="10"/>
      <c r="T236" s="10"/>
      <c r="U236" s="10"/>
      <c r="V236" s="10"/>
      <c r="W236" s="10"/>
      <c r="X236" s="10"/>
      <c r="Y236" s="10"/>
      <c r="Z236" s="10"/>
    </row>
    <row r="237" spans="5:26" x14ac:dyDescent="0.15">
      <c r="E237" s="10"/>
      <c r="F237" s="10"/>
      <c r="G237" s="10"/>
      <c r="H237" s="10"/>
      <c r="I237" s="10"/>
      <c r="J237" s="10"/>
      <c r="K237" s="10"/>
      <c r="L237" s="10"/>
      <c r="M237" s="10"/>
      <c r="N237" s="10"/>
      <c r="O237" s="10"/>
      <c r="P237" s="10"/>
      <c r="Q237" s="38"/>
      <c r="R237" s="38"/>
      <c r="S237" s="10"/>
      <c r="T237" s="10"/>
      <c r="U237" s="10"/>
      <c r="V237" s="10"/>
      <c r="W237" s="10"/>
      <c r="X237" s="10"/>
      <c r="Y237" s="10"/>
      <c r="Z237" s="10"/>
    </row>
    <row r="238" spans="5:26" x14ac:dyDescent="0.15">
      <c r="E238" s="10"/>
      <c r="F238" s="10"/>
      <c r="G238" s="10"/>
      <c r="H238" s="10"/>
      <c r="I238" s="10"/>
      <c r="J238" s="10"/>
      <c r="K238" s="10"/>
      <c r="L238" s="10"/>
      <c r="M238" s="10"/>
      <c r="N238" s="10"/>
      <c r="O238" s="10"/>
      <c r="P238" s="10"/>
      <c r="Q238" s="38"/>
      <c r="R238" s="38"/>
      <c r="S238" s="10"/>
      <c r="T238" s="10"/>
      <c r="U238" s="10"/>
      <c r="V238" s="10"/>
      <c r="W238" s="10"/>
      <c r="X238" s="10"/>
      <c r="Y238" s="10"/>
      <c r="Z238" s="10"/>
    </row>
    <row r="239" spans="5:26" x14ac:dyDescent="0.15">
      <c r="E239" s="10"/>
      <c r="F239" s="10"/>
      <c r="G239" s="10"/>
      <c r="H239" s="10"/>
      <c r="I239" s="10"/>
      <c r="J239" s="10"/>
      <c r="K239" s="10"/>
      <c r="L239" s="10"/>
      <c r="M239" s="10"/>
      <c r="N239" s="10"/>
      <c r="O239" s="10"/>
      <c r="P239" s="10"/>
      <c r="Q239" s="38"/>
      <c r="R239" s="38"/>
      <c r="S239" s="10"/>
      <c r="T239" s="10"/>
      <c r="U239" s="10"/>
      <c r="V239" s="10"/>
      <c r="W239" s="10"/>
      <c r="X239" s="10"/>
      <c r="Y239" s="10"/>
      <c r="Z239" s="10"/>
    </row>
    <row r="240" spans="5:26" x14ac:dyDescent="0.15">
      <c r="E240" s="10"/>
      <c r="F240" s="10"/>
      <c r="G240" s="10"/>
      <c r="H240" s="10"/>
      <c r="I240" s="10"/>
      <c r="J240" s="10"/>
      <c r="K240" s="10"/>
      <c r="L240" s="10"/>
      <c r="M240" s="10"/>
      <c r="N240" s="10"/>
      <c r="O240" s="10"/>
      <c r="P240" s="10"/>
      <c r="Q240" s="38"/>
      <c r="R240" s="38"/>
      <c r="S240" s="10"/>
      <c r="T240" s="10"/>
      <c r="U240" s="10"/>
      <c r="V240" s="10"/>
      <c r="W240" s="10"/>
      <c r="X240" s="10"/>
      <c r="Y240" s="10"/>
      <c r="Z240" s="10"/>
    </row>
    <row r="241" spans="2:26" x14ac:dyDescent="0.15">
      <c r="E241" s="10"/>
      <c r="F241" s="10"/>
      <c r="G241" s="10"/>
      <c r="H241" s="10"/>
      <c r="I241" s="10"/>
      <c r="J241" s="10"/>
      <c r="K241" s="10"/>
      <c r="L241" s="10"/>
      <c r="M241" s="10"/>
      <c r="N241" s="10"/>
      <c r="O241" s="10"/>
      <c r="P241" s="10"/>
      <c r="Q241" s="38"/>
      <c r="R241" s="38"/>
      <c r="S241" s="10"/>
      <c r="T241" s="10"/>
      <c r="U241" s="10"/>
      <c r="V241" s="10"/>
      <c r="W241" s="10"/>
      <c r="X241" s="10"/>
      <c r="Y241" s="10"/>
      <c r="Z241" s="10"/>
    </row>
    <row r="242" spans="2:26" x14ac:dyDescent="0.15">
      <c r="E242" s="10"/>
      <c r="F242" s="10"/>
      <c r="G242" s="10"/>
      <c r="H242" s="10"/>
      <c r="I242" s="10"/>
      <c r="J242" s="10"/>
      <c r="K242" s="10"/>
      <c r="L242" s="10"/>
      <c r="M242" s="10"/>
      <c r="N242" s="10"/>
      <c r="O242" s="10"/>
      <c r="P242" s="10"/>
      <c r="Q242" s="38"/>
      <c r="R242" s="38"/>
      <c r="S242" s="10"/>
      <c r="T242" s="10"/>
      <c r="U242" s="10"/>
      <c r="V242" s="10"/>
      <c r="W242" s="10"/>
      <c r="X242" s="10"/>
      <c r="Y242" s="10"/>
      <c r="Z242" s="10"/>
    </row>
    <row r="243" spans="2:26" x14ac:dyDescent="0.15">
      <c r="E243" s="10"/>
      <c r="F243" s="10"/>
      <c r="G243" s="10"/>
      <c r="H243" s="10"/>
      <c r="I243" s="10"/>
      <c r="J243" s="10"/>
      <c r="K243" s="10"/>
      <c r="L243" s="10"/>
      <c r="M243" s="10"/>
      <c r="N243" s="10"/>
      <c r="O243" s="10"/>
      <c r="P243" s="10"/>
      <c r="Q243" s="38"/>
      <c r="R243" s="38"/>
      <c r="S243" s="10"/>
      <c r="T243" s="10"/>
      <c r="U243" s="10"/>
      <c r="V243" s="10"/>
      <c r="W243" s="10"/>
      <c r="X243" s="10"/>
      <c r="Y243" s="10"/>
      <c r="Z243" s="10"/>
    </row>
    <row r="244" spans="2:26" x14ac:dyDescent="0.15">
      <c r="E244" s="10"/>
      <c r="F244" s="10"/>
      <c r="G244" s="10"/>
      <c r="H244" s="10"/>
      <c r="I244" s="10"/>
      <c r="J244" s="10"/>
      <c r="K244" s="10"/>
      <c r="L244" s="10"/>
      <c r="M244" s="10"/>
      <c r="N244" s="10"/>
      <c r="O244" s="10"/>
      <c r="P244" s="10"/>
      <c r="Q244" s="38"/>
      <c r="R244" s="38"/>
      <c r="S244" s="10"/>
      <c r="T244" s="10"/>
      <c r="U244" s="10"/>
      <c r="V244" s="10"/>
      <c r="W244" s="10"/>
      <c r="X244" s="10"/>
      <c r="Y244" s="10"/>
      <c r="Z244" s="10"/>
    </row>
    <row r="245" spans="2:26" x14ac:dyDescent="0.15">
      <c r="E245" s="10"/>
      <c r="F245" s="10"/>
      <c r="G245" s="10"/>
      <c r="H245" s="10"/>
      <c r="I245" s="10"/>
      <c r="J245" s="10"/>
      <c r="K245" s="10"/>
      <c r="L245" s="10"/>
      <c r="M245" s="10"/>
      <c r="N245" s="10"/>
      <c r="O245" s="10"/>
      <c r="P245" s="10"/>
      <c r="Q245" s="38"/>
      <c r="R245" s="38"/>
      <c r="S245" s="10"/>
      <c r="T245" s="10"/>
      <c r="U245" s="10"/>
      <c r="V245" s="10"/>
      <c r="W245" s="10"/>
      <c r="X245" s="10"/>
      <c r="Y245" s="10"/>
      <c r="Z245" s="10"/>
    </row>
    <row r="246" spans="2:26" x14ac:dyDescent="0.15">
      <c r="E246" s="10"/>
      <c r="F246" s="10"/>
      <c r="G246" s="10"/>
      <c r="H246" s="10"/>
      <c r="I246" s="10"/>
      <c r="J246" s="10"/>
      <c r="K246" s="10"/>
      <c r="L246" s="10"/>
      <c r="M246" s="10"/>
      <c r="N246" s="10"/>
      <c r="O246" s="10"/>
      <c r="P246" s="10"/>
      <c r="Q246" s="38"/>
      <c r="R246" s="38"/>
      <c r="S246" s="10"/>
      <c r="T246" s="10"/>
      <c r="U246" s="10"/>
      <c r="V246" s="10"/>
      <c r="W246" s="10"/>
      <c r="X246" s="10"/>
      <c r="Y246" s="10"/>
      <c r="Z246" s="10"/>
    </row>
    <row r="247" spans="2:26" x14ac:dyDescent="0.15">
      <c r="B247" s="17"/>
      <c r="D247" s="17"/>
      <c r="E247" s="17"/>
      <c r="F247" s="17"/>
      <c r="G247" s="17"/>
      <c r="H247" s="10"/>
      <c r="I247" s="10"/>
      <c r="J247" s="10"/>
      <c r="K247" s="10"/>
      <c r="L247" s="10"/>
      <c r="M247" s="10"/>
      <c r="N247" s="10"/>
      <c r="O247" s="10"/>
      <c r="P247" s="10"/>
      <c r="Q247" s="38"/>
      <c r="R247" s="38"/>
      <c r="S247" s="10"/>
      <c r="T247" s="10"/>
      <c r="U247" s="10"/>
      <c r="V247" s="10"/>
      <c r="W247" s="10"/>
      <c r="X247" s="10"/>
      <c r="Y247" s="10"/>
      <c r="Z247" s="10"/>
    </row>
    <row r="248" spans="2:26" x14ac:dyDescent="0.15">
      <c r="E248" s="10"/>
      <c r="F248" s="10"/>
      <c r="G248" s="10"/>
      <c r="H248" s="10"/>
      <c r="I248" s="10"/>
      <c r="J248" s="10"/>
      <c r="K248" s="10"/>
      <c r="L248" s="10"/>
      <c r="M248" s="10"/>
      <c r="N248" s="10"/>
      <c r="O248" s="10"/>
      <c r="P248" s="10"/>
      <c r="Q248" s="38"/>
      <c r="R248" s="38"/>
      <c r="S248" s="10"/>
      <c r="T248" s="10"/>
      <c r="U248" s="10"/>
      <c r="V248" s="10"/>
      <c r="W248" s="10"/>
      <c r="X248" s="10"/>
      <c r="Y248" s="10"/>
      <c r="Z248" s="10"/>
    </row>
    <row r="249" spans="2:26" x14ac:dyDescent="0.15">
      <c r="E249" s="10"/>
      <c r="F249" s="10"/>
      <c r="G249" s="10"/>
      <c r="H249" s="10"/>
      <c r="I249" s="10"/>
      <c r="J249" s="10"/>
      <c r="K249" s="10"/>
      <c r="L249" s="10"/>
      <c r="M249" s="10"/>
      <c r="N249" s="10"/>
      <c r="O249" s="10"/>
      <c r="P249" s="10"/>
      <c r="Q249" s="38"/>
      <c r="R249" s="38"/>
      <c r="S249" s="10"/>
      <c r="T249" s="10"/>
      <c r="U249" s="10"/>
      <c r="V249" s="10"/>
      <c r="W249" s="10"/>
      <c r="X249" s="10"/>
      <c r="Y249" s="10"/>
      <c r="Z249" s="10"/>
    </row>
    <row r="250" spans="2:26" x14ac:dyDescent="0.15">
      <c r="E250" s="10"/>
      <c r="F250" s="10"/>
      <c r="G250" s="10"/>
      <c r="H250" s="10"/>
      <c r="I250" s="10"/>
      <c r="J250" s="10"/>
      <c r="K250" s="10"/>
      <c r="L250" s="10"/>
      <c r="M250" s="10"/>
      <c r="N250" s="10"/>
      <c r="O250" s="10"/>
      <c r="P250" s="10"/>
      <c r="Q250" s="38"/>
      <c r="R250" s="38"/>
      <c r="S250" s="10"/>
      <c r="T250" s="10"/>
      <c r="U250" s="10"/>
      <c r="V250" s="10"/>
      <c r="W250" s="10"/>
      <c r="X250" s="10"/>
      <c r="Y250" s="10"/>
      <c r="Z250" s="10"/>
    </row>
    <row r="251" spans="2:26" x14ac:dyDescent="0.15">
      <c r="E251" s="10"/>
      <c r="F251" s="10"/>
      <c r="G251" s="10"/>
      <c r="H251" s="10"/>
      <c r="I251" s="10"/>
      <c r="J251" s="10"/>
      <c r="K251" s="10"/>
      <c r="L251" s="10"/>
      <c r="M251" s="10"/>
      <c r="N251" s="10"/>
      <c r="O251" s="10"/>
      <c r="P251" s="10"/>
      <c r="Q251" s="38"/>
      <c r="R251" s="38"/>
      <c r="S251" s="10"/>
      <c r="T251" s="10"/>
      <c r="U251" s="10"/>
      <c r="V251" s="10"/>
      <c r="W251" s="10"/>
      <c r="X251" s="10"/>
      <c r="Y251" s="10"/>
      <c r="Z251" s="10"/>
    </row>
    <row r="252" spans="2:26" x14ac:dyDescent="0.15">
      <c r="E252" s="10"/>
      <c r="F252" s="10"/>
      <c r="G252" s="10"/>
      <c r="H252" s="10"/>
      <c r="I252" s="10"/>
      <c r="J252" s="10"/>
      <c r="K252" s="10"/>
      <c r="L252" s="10"/>
      <c r="M252" s="10"/>
      <c r="N252" s="10"/>
      <c r="O252" s="10"/>
      <c r="P252" s="10"/>
      <c r="Q252" s="38"/>
      <c r="R252" s="38"/>
      <c r="S252" s="10"/>
      <c r="T252" s="10"/>
      <c r="U252" s="10"/>
      <c r="V252" s="10"/>
      <c r="W252" s="10"/>
      <c r="X252" s="10"/>
      <c r="Y252" s="10"/>
      <c r="Z252" s="10"/>
    </row>
    <row r="253" spans="2:26" x14ac:dyDescent="0.15">
      <c r="E253" s="10"/>
      <c r="F253" s="10"/>
      <c r="G253" s="10"/>
      <c r="H253" s="10"/>
      <c r="I253" s="10"/>
      <c r="J253" s="10"/>
      <c r="K253" s="10"/>
      <c r="L253" s="10"/>
      <c r="M253" s="10"/>
      <c r="N253" s="10"/>
      <c r="O253" s="10"/>
      <c r="P253" s="10"/>
      <c r="Q253" s="38"/>
      <c r="R253" s="38"/>
      <c r="S253" s="10"/>
      <c r="T253" s="10"/>
      <c r="U253" s="10"/>
      <c r="V253" s="10"/>
      <c r="W253" s="10"/>
      <c r="X253" s="10"/>
      <c r="Y253" s="10"/>
      <c r="Z253" s="10"/>
    </row>
    <row r="254" spans="2:26" x14ac:dyDescent="0.15">
      <c r="B254" s="39"/>
      <c r="D254" s="39"/>
      <c r="E254" s="40"/>
      <c r="F254" s="40"/>
      <c r="G254" s="39"/>
      <c r="V254" s="10"/>
      <c r="W254" s="10"/>
      <c r="X254" s="10"/>
      <c r="Y254" s="10"/>
      <c r="Z254" s="10"/>
    </row>
    <row r="255" spans="2:26" x14ac:dyDescent="0.15">
      <c r="B255" s="41"/>
      <c r="D255" s="41"/>
      <c r="E255" s="42"/>
      <c r="F255" s="42"/>
      <c r="G255" s="42"/>
    </row>
    <row r="264" spans="2:2" x14ac:dyDescent="0.15">
      <c r="B264" s="3" t="s">
        <v>751</v>
      </c>
    </row>
    <row r="265" spans="2:2" x14ac:dyDescent="0.15">
      <c r="B265" s="3" t="s">
        <v>751</v>
      </c>
    </row>
    <row r="266" spans="2:2" x14ac:dyDescent="0.15">
      <c r="B266" s="3" t="s">
        <v>751</v>
      </c>
    </row>
    <row r="267" spans="2:2" x14ac:dyDescent="0.15">
      <c r="B267" s="3" t="s">
        <v>751</v>
      </c>
    </row>
    <row r="268" spans="2:2" x14ac:dyDescent="0.15">
      <c r="B268" s="3" t="s">
        <v>751</v>
      </c>
    </row>
    <row r="269" spans="2:2" x14ac:dyDescent="0.15">
      <c r="B269" s="3" t="s">
        <v>751</v>
      </c>
    </row>
    <row r="270" spans="2:2" x14ac:dyDescent="0.15">
      <c r="B270" s="3" t="s">
        <v>751</v>
      </c>
    </row>
    <row r="271" spans="2:2" x14ac:dyDescent="0.15">
      <c r="B271" s="3" t="s">
        <v>751</v>
      </c>
    </row>
    <row r="272" spans="2:2" x14ac:dyDescent="0.15">
      <c r="B272" s="3" t="s">
        <v>751</v>
      </c>
    </row>
    <row r="273" spans="2:2" x14ac:dyDescent="0.15">
      <c r="B273" s="3" t="s">
        <v>751</v>
      </c>
    </row>
    <row r="274" spans="2:2" x14ac:dyDescent="0.15">
      <c r="B274" s="3" t="s">
        <v>751</v>
      </c>
    </row>
    <row r="275" spans="2:2" x14ac:dyDescent="0.15">
      <c r="B275" s="3" t="s">
        <v>751</v>
      </c>
    </row>
    <row r="276" spans="2:2" x14ac:dyDescent="0.15">
      <c r="B276" s="3" t="s">
        <v>751</v>
      </c>
    </row>
    <row r="277" spans="2:2" x14ac:dyDescent="0.15">
      <c r="B277" s="3" t="s">
        <v>751</v>
      </c>
    </row>
    <row r="278" spans="2:2" x14ac:dyDescent="0.15">
      <c r="B278" s="3" t="s">
        <v>751</v>
      </c>
    </row>
    <row r="279" spans="2:2" x14ac:dyDescent="0.15">
      <c r="B279" s="3" t="s">
        <v>751</v>
      </c>
    </row>
    <row r="280" spans="2:2" x14ac:dyDescent="0.15">
      <c r="B280" s="3" t="s">
        <v>751</v>
      </c>
    </row>
    <row r="281" spans="2:2" x14ac:dyDescent="0.15">
      <c r="B281" s="3" t="s">
        <v>751</v>
      </c>
    </row>
    <row r="282" spans="2:2" x14ac:dyDescent="0.15">
      <c r="B282" s="3" t="s">
        <v>751</v>
      </c>
    </row>
    <row r="283" spans="2:2" x14ac:dyDescent="0.15">
      <c r="B283" s="3" t="s">
        <v>751</v>
      </c>
    </row>
    <row r="284" spans="2:2" x14ac:dyDescent="0.15">
      <c r="B284" s="3" t="s">
        <v>751</v>
      </c>
    </row>
    <row r="285" spans="2:2" x14ac:dyDescent="0.15">
      <c r="B285" s="3" t="s">
        <v>751</v>
      </c>
    </row>
    <row r="286" spans="2:2" x14ac:dyDescent="0.15">
      <c r="B286" s="3" t="s">
        <v>751</v>
      </c>
    </row>
    <row r="287" spans="2:2" x14ac:dyDescent="0.15">
      <c r="B287" s="3" t="s">
        <v>751</v>
      </c>
    </row>
    <row r="288" spans="2:2" x14ac:dyDescent="0.15">
      <c r="B288" s="3" t="s">
        <v>751</v>
      </c>
    </row>
    <row r="289" spans="2:2" x14ac:dyDescent="0.15">
      <c r="B289" s="3" t="s">
        <v>751</v>
      </c>
    </row>
    <row r="290" spans="2:2" x14ac:dyDescent="0.15">
      <c r="B290" s="3" t="s">
        <v>751</v>
      </c>
    </row>
    <row r="291" spans="2:2" x14ac:dyDescent="0.15">
      <c r="B291" s="3" t="s">
        <v>751</v>
      </c>
    </row>
    <row r="292" spans="2:2" x14ac:dyDescent="0.15">
      <c r="B292" s="3" t="s">
        <v>751</v>
      </c>
    </row>
    <row r="293" spans="2:2" x14ac:dyDescent="0.15">
      <c r="B293" s="3" t="s">
        <v>751</v>
      </c>
    </row>
    <row r="294" spans="2:2" x14ac:dyDescent="0.15">
      <c r="B294" s="3" t="s">
        <v>751</v>
      </c>
    </row>
    <row r="295" spans="2:2" x14ac:dyDescent="0.15">
      <c r="B295" s="3" t="s">
        <v>751</v>
      </c>
    </row>
    <row r="296" spans="2:2" x14ac:dyDescent="0.15">
      <c r="B296" s="3" t="s">
        <v>751</v>
      </c>
    </row>
    <row r="297" spans="2:2" x14ac:dyDescent="0.15">
      <c r="B297" s="3" t="s">
        <v>751</v>
      </c>
    </row>
    <row r="298" spans="2:2" x14ac:dyDescent="0.15">
      <c r="B298" s="3" t="s">
        <v>751</v>
      </c>
    </row>
    <row r="299" spans="2:2" x14ac:dyDescent="0.15">
      <c r="B299" s="3" t="s">
        <v>751</v>
      </c>
    </row>
    <row r="300" spans="2:2" x14ac:dyDescent="0.15">
      <c r="B300" s="3" t="s">
        <v>751</v>
      </c>
    </row>
    <row r="301" spans="2:2" x14ac:dyDescent="0.15">
      <c r="B301" s="3" t="s">
        <v>751</v>
      </c>
    </row>
    <row r="302" spans="2:2" x14ac:dyDescent="0.15">
      <c r="B302" s="3" t="s">
        <v>751</v>
      </c>
    </row>
    <row r="303" spans="2:2" x14ac:dyDescent="0.15">
      <c r="B303" s="3" t="s">
        <v>751</v>
      </c>
    </row>
    <row r="304" spans="2:2" x14ac:dyDescent="0.15">
      <c r="B304" s="3" t="s">
        <v>751</v>
      </c>
    </row>
    <row r="305" spans="2:2" x14ac:dyDescent="0.15">
      <c r="B305" s="3" t="s">
        <v>751</v>
      </c>
    </row>
    <row r="306" spans="2:2" x14ac:dyDescent="0.15">
      <c r="B306" s="3" t="s">
        <v>751</v>
      </c>
    </row>
    <row r="307" spans="2:2" x14ac:dyDescent="0.15">
      <c r="B307" s="3" t="s">
        <v>751</v>
      </c>
    </row>
    <row r="308" spans="2:2" x14ac:dyDescent="0.15">
      <c r="B308" s="3" t="s">
        <v>751</v>
      </c>
    </row>
    <row r="309" spans="2:2" x14ac:dyDescent="0.15">
      <c r="B309" s="3" t="s">
        <v>751</v>
      </c>
    </row>
    <row r="310" spans="2:2" x14ac:dyDescent="0.15">
      <c r="B310" s="3" t="s">
        <v>751</v>
      </c>
    </row>
    <row r="311" spans="2:2" x14ac:dyDescent="0.15">
      <c r="B311" s="3" t="s">
        <v>751</v>
      </c>
    </row>
    <row r="312" spans="2:2" x14ac:dyDescent="0.15">
      <c r="B312" s="3" t="s">
        <v>751</v>
      </c>
    </row>
    <row r="313" spans="2:2" x14ac:dyDescent="0.15">
      <c r="B313" s="3" t="s">
        <v>751</v>
      </c>
    </row>
    <row r="314" spans="2:2" x14ac:dyDescent="0.15">
      <c r="B314" s="3" t="s">
        <v>751</v>
      </c>
    </row>
    <row r="315" spans="2:2" x14ac:dyDescent="0.15">
      <c r="B315" s="3" t="s">
        <v>751</v>
      </c>
    </row>
    <row r="316" spans="2:2" x14ac:dyDescent="0.15">
      <c r="B316" s="3" t="s">
        <v>751</v>
      </c>
    </row>
    <row r="317" spans="2:2" x14ac:dyDescent="0.15">
      <c r="B317" s="3" t="s">
        <v>751</v>
      </c>
    </row>
    <row r="318" spans="2:2" x14ac:dyDescent="0.15">
      <c r="B318" s="3" t="s">
        <v>751</v>
      </c>
    </row>
    <row r="319" spans="2:2" x14ac:dyDescent="0.15">
      <c r="B319" s="3" t="s">
        <v>751</v>
      </c>
    </row>
    <row r="320" spans="2:2" x14ac:dyDescent="0.15">
      <c r="B320" s="3" t="s">
        <v>751</v>
      </c>
    </row>
    <row r="321" spans="2:2" x14ac:dyDescent="0.15">
      <c r="B321" s="3" t="s">
        <v>751</v>
      </c>
    </row>
    <row r="322" spans="2:2" x14ac:dyDescent="0.15">
      <c r="B322" s="3" t="s">
        <v>751</v>
      </c>
    </row>
    <row r="323" spans="2:2" x14ac:dyDescent="0.15">
      <c r="B323" s="3" t="s">
        <v>751</v>
      </c>
    </row>
    <row r="324" spans="2:2" x14ac:dyDescent="0.15">
      <c r="B324" s="3" t="s">
        <v>751</v>
      </c>
    </row>
    <row r="325" spans="2:2" x14ac:dyDescent="0.15">
      <c r="B325" s="3" t="s">
        <v>751</v>
      </c>
    </row>
    <row r="326" spans="2:2" x14ac:dyDescent="0.15">
      <c r="B326" s="3" t="s">
        <v>751</v>
      </c>
    </row>
    <row r="327" spans="2:2" x14ac:dyDescent="0.15">
      <c r="B327" s="3" t="s">
        <v>751</v>
      </c>
    </row>
    <row r="328" spans="2:2" x14ac:dyDescent="0.15">
      <c r="B328" s="3" t="s">
        <v>751</v>
      </c>
    </row>
    <row r="329" spans="2:2" x14ac:dyDescent="0.15">
      <c r="B329" s="3" t="s">
        <v>751</v>
      </c>
    </row>
    <row r="330" spans="2:2" x14ac:dyDescent="0.15">
      <c r="B330" s="3" t="s">
        <v>751</v>
      </c>
    </row>
    <row r="331" spans="2:2" x14ac:dyDescent="0.15">
      <c r="B331" s="3" t="s">
        <v>751</v>
      </c>
    </row>
    <row r="332" spans="2:2" x14ac:dyDescent="0.15">
      <c r="B332" s="3" t="s">
        <v>751</v>
      </c>
    </row>
    <row r="333" spans="2:2" x14ac:dyDescent="0.15">
      <c r="B333" s="3" t="s">
        <v>751</v>
      </c>
    </row>
    <row r="334" spans="2:2" x14ac:dyDescent="0.15">
      <c r="B334" s="3" t="s">
        <v>751</v>
      </c>
    </row>
    <row r="335" spans="2:2" x14ac:dyDescent="0.15">
      <c r="B335" s="3" t="s">
        <v>751</v>
      </c>
    </row>
    <row r="336" spans="2:2" x14ac:dyDescent="0.15">
      <c r="B336" s="3" t="s">
        <v>751</v>
      </c>
    </row>
    <row r="337" spans="2:6" x14ac:dyDescent="0.15">
      <c r="B337" s="3" t="s">
        <v>751</v>
      </c>
    </row>
    <row r="338" spans="2:6" x14ac:dyDescent="0.15">
      <c r="B338" s="3" t="s">
        <v>751</v>
      </c>
    </row>
    <row r="339" spans="2:6" x14ac:dyDescent="0.15">
      <c r="B339" s="3" t="s">
        <v>751</v>
      </c>
    </row>
    <row r="340" spans="2:6" x14ac:dyDescent="0.15">
      <c r="B340" s="3" t="s">
        <v>751</v>
      </c>
    </row>
    <row r="341" spans="2:6" x14ac:dyDescent="0.15">
      <c r="B341" s="3" t="s">
        <v>751</v>
      </c>
    </row>
    <row r="342" spans="2:6" x14ac:dyDescent="0.15">
      <c r="B342" s="3" t="s">
        <v>751</v>
      </c>
    </row>
    <row r="343" spans="2:6" x14ac:dyDescent="0.15">
      <c r="B343" s="3" t="s">
        <v>751</v>
      </c>
    </row>
    <row r="344" spans="2:6" x14ac:dyDescent="0.15">
      <c r="B344" s="3" t="s">
        <v>751</v>
      </c>
    </row>
    <row r="345" spans="2:6" x14ac:dyDescent="0.15">
      <c r="B345" s="3" t="s">
        <v>751</v>
      </c>
    </row>
    <row r="346" spans="2:6" x14ac:dyDescent="0.15">
      <c r="B346" s="3" t="s">
        <v>751</v>
      </c>
    </row>
    <row r="347" spans="2:6" x14ac:dyDescent="0.15">
      <c r="B347" s="3" t="s">
        <v>751</v>
      </c>
    </row>
    <row r="348" spans="2:6" x14ac:dyDescent="0.15">
      <c r="B348" s="3" t="s">
        <v>751</v>
      </c>
    </row>
    <row r="349" spans="2:6" x14ac:dyDescent="0.15">
      <c r="B349" s="3" t="s">
        <v>751</v>
      </c>
    </row>
    <row r="350" spans="2:6" x14ac:dyDescent="0.15">
      <c r="B350" s="3" t="s">
        <v>751</v>
      </c>
    </row>
    <row r="351" spans="2:6" x14ac:dyDescent="0.15">
      <c r="B351" s="3" t="s">
        <v>751</v>
      </c>
    </row>
    <row r="352" spans="2:6" x14ac:dyDescent="0.15">
      <c r="B352" s="3" t="s">
        <v>751</v>
      </c>
      <c r="E352" s="3" t="s">
        <v>751</v>
      </c>
      <c r="F352" s="3" t="s">
        <v>751</v>
      </c>
    </row>
    <row r="353" spans="2:6" x14ac:dyDescent="0.15">
      <c r="B353" s="3" t="s">
        <v>751</v>
      </c>
      <c r="E353" s="3" t="s">
        <v>751</v>
      </c>
      <c r="F353" s="3" t="s">
        <v>751</v>
      </c>
    </row>
    <row r="354" spans="2:6" x14ac:dyDescent="0.15">
      <c r="B354" s="3" t="s">
        <v>751</v>
      </c>
      <c r="E354" s="3" t="s">
        <v>751</v>
      </c>
      <c r="F354" s="3" t="s">
        <v>751</v>
      </c>
    </row>
    <row r="355" spans="2:6" x14ac:dyDescent="0.15">
      <c r="B355" s="3" t="s">
        <v>751</v>
      </c>
      <c r="E355" s="3" t="s">
        <v>751</v>
      </c>
      <c r="F355" s="3" t="s">
        <v>751</v>
      </c>
    </row>
    <row r="356" spans="2:6" x14ac:dyDescent="0.15">
      <c r="B356" s="3" t="s">
        <v>751</v>
      </c>
      <c r="E356" s="3" t="s">
        <v>751</v>
      </c>
      <c r="F356" s="3" t="s">
        <v>751</v>
      </c>
    </row>
    <row r="357" spans="2:6" x14ac:dyDescent="0.15">
      <c r="B357" s="3" t="s">
        <v>751</v>
      </c>
      <c r="E357" s="3" t="s">
        <v>751</v>
      </c>
      <c r="F357" s="3" t="s">
        <v>751</v>
      </c>
    </row>
    <row r="358" spans="2:6" x14ac:dyDescent="0.15">
      <c r="B358" s="3" t="s">
        <v>751</v>
      </c>
      <c r="E358" s="3" t="s">
        <v>751</v>
      </c>
      <c r="F358" s="3" t="s">
        <v>751</v>
      </c>
    </row>
    <row r="359" spans="2:6" x14ac:dyDescent="0.15">
      <c r="B359" s="3" t="s">
        <v>751</v>
      </c>
      <c r="E359" s="3" t="s">
        <v>751</v>
      </c>
      <c r="F359" s="3" t="s">
        <v>751</v>
      </c>
    </row>
    <row r="360" spans="2:6" x14ac:dyDescent="0.15">
      <c r="B360" s="3" t="s">
        <v>751</v>
      </c>
      <c r="E360" s="3" t="s">
        <v>751</v>
      </c>
      <c r="F360" s="3" t="s">
        <v>751</v>
      </c>
    </row>
    <row r="361" spans="2:6" x14ac:dyDescent="0.15">
      <c r="B361" s="3" t="s">
        <v>751</v>
      </c>
      <c r="E361" s="3" t="s">
        <v>751</v>
      </c>
      <c r="F361" s="3" t="s">
        <v>751</v>
      </c>
    </row>
    <row r="362" spans="2:6" x14ac:dyDescent="0.15">
      <c r="B362" s="3" t="s">
        <v>751</v>
      </c>
      <c r="E362" s="3" t="s">
        <v>751</v>
      </c>
      <c r="F362" s="3" t="s">
        <v>751</v>
      </c>
    </row>
    <row r="363" spans="2:6" x14ac:dyDescent="0.15">
      <c r="B363" s="3" t="s">
        <v>751</v>
      </c>
      <c r="E363" s="3" t="s">
        <v>751</v>
      </c>
      <c r="F363" s="3" t="s">
        <v>751</v>
      </c>
    </row>
  </sheetData>
  <mergeCells count="6">
    <mergeCell ref="C4:D4"/>
    <mergeCell ref="E15:H15"/>
    <mergeCell ref="M15:P15"/>
    <mergeCell ref="Q15:R15"/>
    <mergeCell ref="S15:U15"/>
    <mergeCell ref="I15:L15"/>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B5F2-8038-A64F-ADE5-4D6BFF4C8AF2}">
  <sheetPr codeName="Sheet4"/>
  <dimension ref="A1:Q248"/>
  <sheetViews>
    <sheetView zoomScaleNormal="100" workbookViewId="0">
      <pane ySplit="4" topLeftCell="A5" activePane="bottomLeft" state="frozen"/>
      <selection activeCell="C26" sqref="C26"/>
      <selection pane="bottomLeft" sqref="A1:IV65536"/>
    </sheetView>
  </sheetViews>
  <sheetFormatPr baseColWidth="10" defaultColWidth="18" defaultRowHeight="13" x14ac:dyDescent="0.15"/>
  <cols>
    <col min="1" max="1" width="8.83203125" customWidth="1"/>
    <col min="2" max="2" width="47.5" customWidth="1"/>
    <col min="3" max="3" width="72.1640625" customWidth="1"/>
    <col min="4" max="4" width="10.83203125" customWidth="1"/>
    <col min="5" max="5" width="67.83203125" bestFit="1" customWidth="1"/>
    <col min="6" max="6" width="18.1640625" customWidth="1"/>
    <col min="7" max="7" width="17.5" customWidth="1"/>
    <col min="8" max="8" width="18" customWidth="1"/>
    <col min="9" max="9" width="20.1640625" customWidth="1"/>
    <col min="10" max="10" width="15.83203125" customWidth="1"/>
    <col min="11" max="11" width="17.1640625" customWidth="1"/>
    <col min="12" max="12" width="19.83203125" customWidth="1"/>
    <col min="13" max="13" width="20.5" customWidth="1"/>
    <col min="14" max="14" width="15.83203125" customWidth="1"/>
    <col min="15" max="15" width="8.83203125" customWidth="1"/>
    <col min="16" max="16" width="64.83203125" bestFit="1" customWidth="1"/>
    <col min="17" max="249" width="8.83203125" customWidth="1"/>
    <col min="250" max="250" width="36.5" customWidth="1"/>
    <col min="251" max="251" width="72.1640625" customWidth="1"/>
    <col min="252" max="252" width="10.83203125" customWidth="1"/>
    <col min="253" max="253" width="67.83203125" bestFit="1" customWidth="1"/>
    <col min="254" max="254" width="18.1640625" customWidth="1"/>
    <col min="255" max="255" width="17.5" customWidth="1"/>
  </cols>
  <sheetData>
    <row r="1" spans="1:17" x14ac:dyDescent="0.15">
      <c r="A1" s="46"/>
      <c r="B1" s="46"/>
      <c r="C1" s="46"/>
      <c r="D1" s="46"/>
      <c r="E1" s="46"/>
      <c r="F1" s="48" t="s">
        <v>752</v>
      </c>
      <c r="G1" s="48">
        <v>4</v>
      </c>
      <c r="H1" s="48">
        <v>5</v>
      </c>
      <c r="I1" s="48">
        <v>6</v>
      </c>
      <c r="J1" s="48">
        <v>7</v>
      </c>
      <c r="K1" s="48">
        <v>12</v>
      </c>
      <c r="L1" s="48">
        <v>13</v>
      </c>
      <c r="M1" s="48">
        <v>14</v>
      </c>
      <c r="N1" s="48">
        <v>15</v>
      </c>
    </row>
    <row r="2" spans="1:17" x14ac:dyDescent="0.15">
      <c r="A2" s="46"/>
      <c r="B2" s="46"/>
      <c r="C2" s="46"/>
      <c r="D2" s="46"/>
      <c r="E2" s="46"/>
      <c r="F2" s="48"/>
      <c r="G2" s="48">
        <v>1</v>
      </c>
      <c r="H2" s="48">
        <v>2</v>
      </c>
      <c r="I2" s="48">
        <v>3</v>
      </c>
      <c r="J2" s="48">
        <v>4</v>
      </c>
      <c r="K2" s="48">
        <v>8</v>
      </c>
      <c r="L2" s="48">
        <v>9</v>
      </c>
      <c r="M2" s="48">
        <v>10</v>
      </c>
      <c r="N2" s="48">
        <v>11</v>
      </c>
    </row>
    <row r="3" spans="1:17" ht="28.5" customHeight="1" x14ac:dyDescent="0.15">
      <c r="A3" s="46"/>
      <c r="B3" s="46"/>
      <c r="C3" s="46"/>
      <c r="D3" s="46"/>
      <c r="E3" s="46"/>
      <c r="F3" s="46"/>
      <c r="G3" s="20" t="s">
        <v>16</v>
      </c>
      <c r="H3" s="21"/>
      <c r="I3" s="21"/>
      <c r="J3" s="22"/>
      <c r="K3" s="187" t="s">
        <v>18</v>
      </c>
      <c r="L3" s="188"/>
      <c r="M3" s="188"/>
      <c r="N3" s="189"/>
    </row>
    <row r="4" spans="1:17" ht="56" x14ac:dyDescent="0.15">
      <c r="A4" s="23" t="s">
        <v>21</v>
      </c>
      <c r="B4" s="23" t="s">
        <v>684</v>
      </c>
      <c r="C4" s="23" t="s">
        <v>128</v>
      </c>
      <c r="D4" s="24" t="s">
        <v>753</v>
      </c>
      <c r="E4" s="24" t="s">
        <v>754</v>
      </c>
      <c r="F4" s="24" t="s">
        <v>755</v>
      </c>
      <c r="G4" s="36" t="s">
        <v>23</v>
      </c>
      <c r="H4" s="24" t="s">
        <v>24</v>
      </c>
      <c r="I4" s="24" t="s">
        <v>25</v>
      </c>
      <c r="J4" s="24" t="s">
        <v>26</v>
      </c>
      <c r="K4" s="24" t="s">
        <v>23</v>
      </c>
      <c r="L4" s="24" t="s">
        <v>24</v>
      </c>
      <c r="M4" s="24" t="s">
        <v>25</v>
      </c>
      <c r="N4" s="24" t="s">
        <v>28</v>
      </c>
    </row>
    <row r="5" spans="1:17" x14ac:dyDescent="0.15">
      <c r="A5" s="29" t="s">
        <v>283</v>
      </c>
      <c r="B5" s="29" t="s">
        <v>847</v>
      </c>
      <c r="C5" s="29" t="s">
        <v>285</v>
      </c>
      <c r="D5" s="29" t="s">
        <v>283</v>
      </c>
      <c r="E5" s="29" t="s">
        <v>285</v>
      </c>
      <c r="F5" s="102">
        <v>1</v>
      </c>
      <c r="G5" s="47">
        <v>18509</v>
      </c>
      <c r="H5" s="47">
        <v>0</v>
      </c>
      <c r="I5" s="47">
        <v>8667</v>
      </c>
      <c r="J5" s="47">
        <v>27176</v>
      </c>
      <c r="K5" s="47">
        <v>6943</v>
      </c>
      <c r="L5" s="47">
        <v>0</v>
      </c>
      <c r="M5" s="47">
        <v>0</v>
      </c>
      <c r="N5" s="47">
        <v>6943</v>
      </c>
      <c r="P5" t="s">
        <v>285</v>
      </c>
      <c r="Q5" t="s">
        <v>283</v>
      </c>
    </row>
    <row r="6" spans="1:17" x14ac:dyDescent="0.15">
      <c r="A6" s="32" t="s">
        <v>302</v>
      </c>
      <c r="B6" s="32" t="s">
        <v>847</v>
      </c>
      <c r="C6" s="32" t="s">
        <v>303</v>
      </c>
      <c r="D6" s="32" t="s">
        <v>302</v>
      </c>
      <c r="E6" s="32" t="s">
        <v>303</v>
      </c>
      <c r="F6" s="67">
        <v>1</v>
      </c>
      <c r="G6" s="47">
        <v>12085</v>
      </c>
      <c r="H6" s="47">
        <v>0</v>
      </c>
      <c r="I6" s="47">
        <v>5862</v>
      </c>
      <c r="J6" s="47">
        <v>17947</v>
      </c>
      <c r="K6" s="47">
        <v>5557</v>
      </c>
      <c r="L6" s="47">
        <v>0</v>
      </c>
      <c r="M6" s="47">
        <v>100</v>
      </c>
      <c r="N6" s="47">
        <v>5657</v>
      </c>
      <c r="P6" t="s">
        <v>303</v>
      </c>
      <c r="Q6" t="s">
        <v>302</v>
      </c>
    </row>
    <row r="7" spans="1:17" x14ac:dyDescent="0.15">
      <c r="A7" s="32" t="s">
        <v>394</v>
      </c>
      <c r="B7" s="32" t="s">
        <v>847</v>
      </c>
      <c r="C7" s="32" t="s">
        <v>395</v>
      </c>
      <c r="D7" s="32" t="s">
        <v>396</v>
      </c>
      <c r="E7" s="32" t="s">
        <v>397</v>
      </c>
      <c r="F7" s="67">
        <v>1</v>
      </c>
      <c r="G7" s="47">
        <v>0</v>
      </c>
      <c r="H7" s="47">
        <v>0</v>
      </c>
      <c r="I7" s="47">
        <v>0</v>
      </c>
      <c r="J7" s="47">
        <v>0</v>
      </c>
      <c r="K7" s="47">
        <v>0</v>
      </c>
      <c r="L7" s="47">
        <v>0</v>
      </c>
      <c r="M7" s="47">
        <v>0</v>
      </c>
      <c r="N7" s="47">
        <v>0</v>
      </c>
      <c r="P7" t="s">
        <v>712</v>
      </c>
      <c r="Q7" t="s">
        <v>320</v>
      </c>
    </row>
    <row r="8" spans="1:17" x14ac:dyDescent="0.15">
      <c r="A8" s="32" t="s">
        <v>320</v>
      </c>
      <c r="B8" s="32" t="s">
        <v>847</v>
      </c>
      <c r="C8" s="32" t="s">
        <v>712</v>
      </c>
      <c r="D8" s="32" t="s">
        <v>320</v>
      </c>
      <c r="E8" s="32" t="s">
        <v>712</v>
      </c>
      <c r="F8" s="67">
        <v>1</v>
      </c>
      <c r="G8" s="47">
        <v>9588</v>
      </c>
      <c r="H8" s="47">
        <v>0</v>
      </c>
      <c r="I8" s="47">
        <v>9229</v>
      </c>
      <c r="J8" s="47">
        <v>18817</v>
      </c>
      <c r="K8" s="47">
        <v>5076</v>
      </c>
      <c r="L8" s="47">
        <v>0</v>
      </c>
      <c r="M8" s="47">
        <v>122</v>
      </c>
      <c r="N8" s="47">
        <v>5198</v>
      </c>
      <c r="P8" t="s">
        <v>756</v>
      </c>
      <c r="Q8" t="s">
        <v>396</v>
      </c>
    </row>
    <row r="9" spans="1:17" x14ac:dyDescent="0.15">
      <c r="A9" s="32" t="s">
        <v>396</v>
      </c>
      <c r="B9" s="32" t="s">
        <v>847</v>
      </c>
      <c r="C9" s="32" t="s">
        <v>397</v>
      </c>
      <c r="D9" s="32" t="s">
        <v>396</v>
      </c>
      <c r="E9" s="32" t="s">
        <v>397</v>
      </c>
      <c r="F9" s="67">
        <v>1</v>
      </c>
      <c r="G9" s="47">
        <v>12846</v>
      </c>
      <c r="H9" s="47">
        <v>0</v>
      </c>
      <c r="I9" s="47">
        <v>12888</v>
      </c>
      <c r="J9" s="47">
        <v>25734</v>
      </c>
      <c r="K9" s="47">
        <v>5294</v>
      </c>
      <c r="L9" s="47">
        <v>0</v>
      </c>
      <c r="M9" s="47">
        <v>952</v>
      </c>
      <c r="N9" s="47">
        <v>6246</v>
      </c>
      <c r="P9" t="s">
        <v>369</v>
      </c>
      <c r="Q9" t="s">
        <v>368</v>
      </c>
    </row>
    <row r="10" spans="1:17" x14ac:dyDescent="0.15">
      <c r="A10" s="32" t="s">
        <v>398</v>
      </c>
      <c r="B10" s="32" t="s">
        <v>847</v>
      </c>
      <c r="C10" s="32" t="s">
        <v>399</v>
      </c>
      <c r="D10" s="32" t="s">
        <v>396</v>
      </c>
      <c r="E10" s="32" t="s">
        <v>397</v>
      </c>
      <c r="F10" s="67">
        <v>1</v>
      </c>
      <c r="G10" s="47">
        <v>0</v>
      </c>
      <c r="H10" s="47">
        <v>0</v>
      </c>
      <c r="I10" s="47">
        <v>0</v>
      </c>
      <c r="J10" s="47">
        <v>0</v>
      </c>
      <c r="K10" s="47">
        <v>0</v>
      </c>
      <c r="L10" s="47">
        <v>0</v>
      </c>
      <c r="M10" s="47">
        <v>0</v>
      </c>
      <c r="N10" s="47">
        <v>0</v>
      </c>
      <c r="P10" t="s">
        <v>365</v>
      </c>
      <c r="Q10" t="s">
        <v>364</v>
      </c>
    </row>
    <row r="11" spans="1:17" x14ac:dyDescent="0.15">
      <c r="A11" s="32" t="s">
        <v>322</v>
      </c>
      <c r="B11" s="32" t="s">
        <v>847</v>
      </c>
      <c r="C11" s="32" t="s">
        <v>323</v>
      </c>
      <c r="D11" s="32" t="s">
        <v>324</v>
      </c>
      <c r="E11" s="32" t="s">
        <v>325</v>
      </c>
      <c r="F11" s="67">
        <v>1</v>
      </c>
      <c r="G11" s="47">
        <v>0</v>
      </c>
      <c r="H11" s="47">
        <v>0</v>
      </c>
      <c r="I11" s="47">
        <v>1195</v>
      </c>
      <c r="J11" s="47">
        <v>1195</v>
      </c>
      <c r="K11" s="47">
        <v>0</v>
      </c>
      <c r="L11" s="47">
        <v>0</v>
      </c>
      <c r="M11" s="47">
        <v>66</v>
      </c>
      <c r="N11" s="47">
        <v>66</v>
      </c>
      <c r="P11" t="s">
        <v>289</v>
      </c>
      <c r="Q11" t="s">
        <v>288</v>
      </c>
    </row>
    <row r="12" spans="1:17" x14ac:dyDescent="0.15">
      <c r="A12" s="32" t="s">
        <v>321</v>
      </c>
      <c r="B12" s="32" t="s">
        <v>847</v>
      </c>
      <c r="C12" s="32" t="s">
        <v>757</v>
      </c>
      <c r="D12" s="32" t="s">
        <v>320</v>
      </c>
      <c r="E12" s="32" t="s">
        <v>758</v>
      </c>
      <c r="F12" s="67">
        <v>1</v>
      </c>
      <c r="G12" s="47">
        <v>0</v>
      </c>
      <c r="H12" s="47">
        <v>0</v>
      </c>
      <c r="I12" s="47">
        <v>2328</v>
      </c>
      <c r="J12" s="47">
        <v>2328</v>
      </c>
      <c r="K12" s="47">
        <v>0</v>
      </c>
      <c r="L12" s="47">
        <v>0</v>
      </c>
      <c r="M12" s="47">
        <v>120</v>
      </c>
      <c r="N12" s="47">
        <v>120</v>
      </c>
      <c r="P12" t="s">
        <v>713</v>
      </c>
      <c r="Q12" t="s">
        <v>370</v>
      </c>
    </row>
    <row r="13" spans="1:17" x14ac:dyDescent="0.15">
      <c r="A13" s="105" t="s">
        <v>368</v>
      </c>
      <c r="B13" s="105" t="s">
        <v>847</v>
      </c>
      <c r="C13" s="105" t="s">
        <v>369</v>
      </c>
      <c r="D13" s="105" t="s">
        <v>368</v>
      </c>
      <c r="E13" s="105" t="s">
        <v>369</v>
      </c>
      <c r="F13" s="67">
        <v>1</v>
      </c>
      <c r="G13" s="47">
        <v>7874</v>
      </c>
      <c r="H13" s="47">
        <v>0</v>
      </c>
      <c r="I13" s="47">
        <v>1582</v>
      </c>
      <c r="J13" s="47">
        <v>9456</v>
      </c>
      <c r="K13" s="47">
        <v>3219</v>
      </c>
      <c r="L13" s="47">
        <v>0</v>
      </c>
      <c r="M13" s="47">
        <v>0</v>
      </c>
      <c r="N13" s="47">
        <v>3219</v>
      </c>
      <c r="P13" t="s">
        <v>714</v>
      </c>
      <c r="Q13" t="s">
        <v>306</v>
      </c>
    </row>
    <row r="14" spans="1:17" x14ac:dyDescent="0.15">
      <c r="A14" s="105" t="s">
        <v>364</v>
      </c>
      <c r="B14" s="105" t="s">
        <v>847</v>
      </c>
      <c r="C14" s="105" t="s">
        <v>365</v>
      </c>
      <c r="D14" s="105" t="s">
        <v>364</v>
      </c>
      <c r="E14" s="105" t="s">
        <v>365</v>
      </c>
      <c r="F14" s="67">
        <v>1</v>
      </c>
      <c r="G14" s="47">
        <v>28628</v>
      </c>
      <c r="H14" s="47">
        <v>0</v>
      </c>
      <c r="I14" s="47">
        <v>8515</v>
      </c>
      <c r="J14" s="47">
        <v>37143</v>
      </c>
      <c r="K14" s="47">
        <v>10928</v>
      </c>
      <c r="L14" s="47">
        <v>0</v>
      </c>
      <c r="M14" s="47">
        <v>361</v>
      </c>
      <c r="N14" s="47">
        <v>11289</v>
      </c>
      <c r="P14" t="s">
        <v>325</v>
      </c>
      <c r="Q14" t="s">
        <v>324</v>
      </c>
    </row>
    <row r="15" spans="1:17" x14ac:dyDescent="0.15">
      <c r="A15" s="105" t="s">
        <v>288</v>
      </c>
      <c r="B15" s="105" t="s">
        <v>847</v>
      </c>
      <c r="C15" s="105" t="s">
        <v>289</v>
      </c>
      <c r="D15" s="105" t="s">
        <v>288</v>
      </c>
      <c r="E15" s="105" t="s">
        <v>289</v>
      </c>
      <c r="F15" s="67">
        <v>1</v>
      </c>
      <c r="G15" s="47">
        <v>9420</v>
      </c>
      <c r="H15" s="47">
        <v>0</v>
      </c>
      <c r="I15" s="47">
        <v>6789</v>
      </c>
      <c r="J15" s="47">
        <v>16209</v>
      </c>
      <c r="K15" s="47">
        <v>4650</v>
      </c>
      <c r="L15" s="47">
        <v>0</v>
      </c>
      <c r="M15" s="47">
        <v>178</v>
      </c>
      <c r="N15" s="47">
        <v>4828</v>
      </c>
      <c r="P15" t="s">
        <v>715</v>
      </c>
      <c r="Q15" t="s">
        <v>373</v>
      </c>
    </row>
    <row r="16" spans="1:17" x14ac:dyDescent="0.15">
      <c r="A16" s="105" t="s">
        <v>370</v>
      </c>
      <c r="B16" s="105" t="s">
        <v>847</v>
      </c>
      <c r="C16" s="105" t="s">
        <v>713</v>
      </c>
      <c r="D16" s="105" t="s">
        <v>370</v>
      </c>
      <c r="E16" s="105" t="s">
        <v>713</v>
      </c>
      <c r="F16" s="67">
        <v>1</v>
      </c>
      <c r="G16" s="47">
        <v>13687</v>
      </c>
      <c r="H16" s="47">
        <v>0</v>
      </c>
      <c r="I16" s="47">
        <v>8042</v>
      </c>
      <c r="J16" s="47">
        <v>21729</v>
      </c>
      <c r="K16" s="47">
        <v>4376</v>
      </c>
      <c r="L16" s="47">
        <v>0</v>
      </c>
      <c r="M16" s="47">
        <v>7</v>
      </c>
      <c r="N16" s="47">
        <v>4383</v>
      </c>
      <c r="P16" t="s">
        <v>759</v>
      </c>
      <c r="Q16" t="s">
        <v>326</v>
      </c>
    </row>
    <row r="17" spans="1:17" x14ac:dyDescent="0.15">
      <c r="A17" s="105" t="s">
        <v>306</v>
      </c>
      <c r="B17" s="105" t="s">
        <v>847</v>
      </c>
      <c r="C17" s="105" t="s">
        <v>714</v>
      </c>
      <c r="D17" s="105" t="s">
        <v>306</v>
      </c>
      <c r="E17" s="105" t="s">
        <v>714</v>
      </c>
      <c r="F17" s="67">
        <v>1</v>
      </c>
      <c r="G17" s="47">
        <v>17985</v>
      </c>
      <c r="H17" s="47">
        <v>0</v>
      </c>
      <c r="I17" s="47">
        <v>3887</v>
      </c>
      <c r="J17" s="47">
        <v>21872</v>
      </c>
      <c r="K17" s="47">
        <v>6999</v>
      </c>
      <c r="L17" s="47">
        <v>0</v>
      </c>
      <c r="M17" s="47">
        <v>270</v>
      </c>
      <c r="N17" s="47">
        <v>7269</v>
      </c>
      <c r="P17" t="s">
        <v>403</v>
      </c>
      <c r="Q17" t="s">
        <v>402</v>
      </c>
    </row>
    <row r="18" spans="1:17" x14ac:dyDescent="0.15">
      <c r="A18" s="105" t="s">
        <v>290</v>
      </c>
      <c r="B18" s="105" t="s">
        <v>847</v>
      </c>
      <c r="C18" s="105" t="s">
        <v>291</v>
      </c>
      <c r="D18" s="105" t="s">
        <v>283</v>
      </c>
      <c r="E18" s="105" t="s">
        <v>285</v>
      </c>
      <c r="F18" s="67">
        <v>1</v>
      </c>
      <c r="G18" s="47">
        <v>0</v>
      </c>
      <c r="H18" s="47">
        <v>0</v>
      </c>
      <c r="I18" s="47">
        <v>2335</v>
      </c>
      <c r="J18" s="47">
        <v>2335</v>
      </c>
      <c r="K18" s="47">
        <v>0</v>
      </c>
      <c r="L18" s="47">
        <v>0</v>
      </c>
      <c r="M18" s="47">
        <v>0</v>
      </c>
      <c r="N18" s="47">
        <v>0</v>
      </c>
      <c r="P18" t="s">
        <v>716</v>
      </c>
      <c r="Q18" t="s">
        <v>130</v>
      </c>
    </row>
    <row r="19" spans="1:17" x14ac:dyDescent="0.15">
      <c r="A19" s="105" t="s">
        <v>324</v>
      </c>
      <c r="B19" s="105" t="s">
        <v>847</v>
      </c>
      <c r="C19" s="105" t="s">
        <v>325</v>
      </c>
      <c r="D19" s="105" t="s">
        <v>324</v>
      </c>
      <c r="E19" s="105" t="s">
        <v>325</v>
      </c>
      <c r="F19" s="67">
        <v>1</v>
      </c>
      <c r="G19" s="47">
        <v>9234</v>
      </c>
      <c r="H19" s="47">
        <v>0</v>
      </c>
      <c r="I19" s="47">
        <v>2565</v>
      </c>
      <c r="J19" s="47">
        <v>11799</v>
      </c>
      <c r="K19" s="47">
        <v>2644</v>
      </c>
      <c r="L19" s="47">
        <v>0</v>
      </c>
      <c r="M19" s="47">
        <v>0</v>
      </c>
      <c r="N19" s="47">
        <v>2644</v>
      </c>
      <c r="P19" t="s">
        <v>135</v>
      </c>
      <c r="Q19" t="s">
        <v>134</v>
      </c>
    </row>
    <row r="20" spans="1:17" x14ac:dyDescent="0.15">
      <c r="A20" s="105" t="s">
        <v>373</v>
      </c>
      <c r="B20" s="105" t="s">
        <v>847</v>
      </c>
      <c r="C20" s="105" t="s">
        <v>715</v>
      </c>
      <c r="D20" s="105" t="s">
        <v>373</v>
      </c>
      <c r="E20" s="105" t="s">
        <v>715</v>
      </c>
      <c r="F20" s="67">
        <v>1</v>
      </c>
      <c r="G20" s="47">
        <v>6636</v>
      </c>
      <c r="H20" s="47">
        <v>0</v>
      </c>
      <c r="I20" s="47">
        <v>1297</v>
      </c>
      <c r="J20" s="47">
        <v>7933</v>
      </c>
      <c r="K20" s="47">
        <v>2792</v>
      </c>
      <c r="L20" s="47">
        <v>0</v>
      </c>
      <c r="M20" s="47">
        <v>0</v>
      </c>
      <c r="N20" s="47">
        <v>2792</v>
      </c>
      <c r="P20" t="s">
        <v>717</v>
      </c>
      <c r="Q20" t="s">
        <v>207</v>
      </c>
    </row>
    <row r="21" spans="1:17" x14ac:dyDescent="0.15">
      <c r="A21" s="105" t="s">
        <v>326</v>
      </c>
      <c r="B21" s="105" t="s">
        <v>847</v>
      </c>
      <c r="C21" s="105" t="s">
        <v>327</v>
      </c>
      <c r="D21" s="105" t="s">
        <v>326</v>
      </c>
      <c r="E21" s="105" t="s">
        <v>327</v>
      </c>
      <c r="F21" s="67">
        <v>1</v>
      </c>
      <c r="G21" s="47">
        <v>8453</v>
      </c>
      <c r="H21" s="47">
        <v>0</v>
      </c>
      <c r="I21" s="47">
        <v>9787</v>
      </c>
      <c r="J21" s="47">
        <v>18240</v>
      </c>
      <c r="K21" s="47">
        <v>2277</v>
      </c>
      <c r="L21" s="47">
        <v>0</v>
      </c>
      <c r="M21" s="47">
        <v>54</v>
      </c>
      <c r="N21" s="47">
        <v>2331</v>
      </c>
      <c r="P21" t="s">
        <v>251</v>
      </c>
      <c r="Q21" t="s">
        <v>250</v>
      </c>
    </row>
    <row r="22" spans="1:17" x14ac:dyDescent="0.15">
      <c r="A22" s="105" t="s">
        <v>402</v>
      </c>
      <c r="B22" s="105" t="s">
        <v>847</v>
      </c>
      <c r="C22" s="105" t="s">
        <v>403</v>
      </c>
      <c r="D22" s="105" t="s">
        <v>402</v>
      </c>
      <c r="E22" s="105" t="s">
        <v>403</v>
      </c>
      <c r="F22" s="67">
        <v>1</v>
      </c>
      <c r="G22" s="47">
        <v>8324</v>
      </c>
      <c r="H22" s="47">
        <v>0</v>
      </c>
      <c r="I22" s="47">
        <v>940</v>
      </c>
      <c r="J22" s="47">
        <v>9264</v>
      </c>
      <c r="K22" s="47">
        <v>1691</v>
      </c>
      <c r="L22" s="47">
        <v>0</v>
      </c>
      <c r="M22" s="47">
        <v>0</v>
      </c>
      <c r="N22" s="47">
        <v>1691</v>
      </c>
      <c r="P22" t="s">
        <v>718</v>
      </c>
      <c r="Q22" t="s">
        <v>258</v>
      </c>
    </row>
    <row r="23" spans="1:17" x14ac:dyDescent="0.15">
      <c r="A23" s="105" t="s">
        <v>130</v>
      </c>
      <c r="B23" s="105" t="s">
        <v>760</v>
      </c>
      <c r="C23" s="105" t="s">
        <v>716</v>
      </c>
      <c r="D23" s="105" t="s">
        <v>130</v>
      </c>
      <c r="E23" s="105" t="s">
        <v>716</v>
      </c>
      <c r="F23" s="67">
        <v>1</v>
      </c>
      <c r="G23" s="47">
        <v>14321</v>
      </c>
      <c r="H23" s="47">
        <v>2471</v>
      </c>
      <c r="I23" s="47">
        <v>16018</v>
      </c>
      <c r="J23" s="47">
        <v>32810</v>
      </c>
      <c r="K23" s="47">
        <v>5308</v>
      </c>
      <c r="L23" s="47">
        <v>259</v>
      </c>
      <c r="M23" s="47">
        <v>440</v>
      </c>
      <c r="N23" s="47">
        <v>6007</v>
      </c>
      <c r="P23" t="s">
        <v>719</v>
      </c>
      <c r="Q23" t="s">
        <v>233</v>
      </c>
    </row>
    <row r="24" spans="1:17" x14ac:dyDescent="0.15">
      <c r="A24" s="105" t="s">
        <v>162</v>
      </c>
      <c r="B24" s="105" t="s">
        <v>760</v>
      </c>
      <c r="C24" s="105" t="s">
        <v>163</v>
      </c>
      <c r="D24" s="105" t="s">
        <v>130</v>
      </c>
      <c r="E24" s="105" t="s">
        <v>716</v>
      </c>
      <c r="F24" s="67">
        <v>1</v>
      </c>
      <c r="G24" s="47">
        <v>0</v>
      </c>
      <c r="H24" s="47">
        <v>0</v>
      </c>
      <c r="I24" s="47">
        <v>2883</v>
      </c>
      <c r="J24" s="47">
        <v>2883</v>
      </c>
      <c r="K24" s="47">
        <v>0</v>
      </c>
      <c r="L24" s="47">
        <v>0</v>
      </c>
      <c r="M24" s="47">
        <v>32</v>
      </c>
      <c r="N24" s="47">
        <v>32</v>
      </c>
      <c r="P24" t="s">
        <v>761</v>
      </c>
      <c r="Q24" t="s">
        <v>142</v>
      </c>
    </row>
    <row r="25" spans="1:17" x14ac:dyDescent="0.15">
      <c r="A25" s="105" t="s">
        <v>134</v>
      </c>
      <c r="B25" s="105" t="s">
        <v>760</v>
      </c>
      <c r="C25" s="105" t="s">
        <v>135</v>
      </c>
      <c r="D25" s="105" t="s">
        <v>134</v>
      </c>
      <c r="E25" s="105" t="s">
        <v>135</v>
      </c>
      <c r="F25" s="67">
        <v>1</v>
      </c>
      <c r="G25" s="47">
        <v>27253</v>
      </c>
      <c r="H25" s="47">
        <v>895</v>
      </c>
      <c r="I25" s="47">
        <v>18702</v>
      </c>
      <c r="J25" s="47">
        <v>46850</v>
      </c>
      <c r="K25" s="47">
        <v>10642</v>
      </c>
      <c r="L25" s="47">
        <v>1</v>
      </c>
      <c r="M25" s="47">
        <v>1535</v>
      </c>
      <c r="N25" s="47">
        <v>12178</v>
      </c>
      <c r="P25" t="s">
        <v>211</v>
      </c>
      <c r="Q25" t="s">
        <v>210</v>
      </c>
    </row>
    <row r="26" spans="1:17" x14ac:dyDescent="0.15">
      <c r="A26" s="105" t="s">
        <v>230</v>
      </c>
      <c r="B26" s="105" t="s">
        <v>760</v>
      </c>
      <c r="C26" s="105" t="s">
        <v>762</v>
      </c>
      <c r="D26" s="105" t="s">
        <v>236</v>
      </c>
      <c r="E26" s="105" t="s">
        <v>720</v>
      </c>
      <c r="F26" s="67">
        <v>0.38</v>
      </c>
      <c r="G26" s="47">
        <v>0</v>
      </c>
      <c r="H26" s="47">
        <v>0</v>
      </c>
      <c r="I26" s="47">
        <v>1419.68</v>
      </c>
      <c r="J26" s="47">
        <v>1419.68</v>
      </c>
      <c r="K26" s="47">
        <v>0</v>
      </c>
      <c r="L26" s="47">
        <v>0</v>
      </c>
      <c r="M26" s="47">
        <v>5.32</v>
      </c>
      <c r="N26" s="47">
        <v>5.32</v>
      </c>
      <c r="P26" t="s">
        <v>720</v>
      </c>
      <c r="Q26" t="s">
        <v>236</v>
      </c>
    </row>
    <row r="27" spans="1:17" x14ac:dyDescent="0.15">
      <c r="A27" s="105" t="s">
        <v>230</v>
      </c>
      <c r="B27" s="105" t="s">
        <v>760</v>
      </c>
      <c r="C27" s="105" t="s">
        <v>762</v>
      </c>
      <c r="D27" s="105" t="s">
        <v>239</v>
      </c>
      <c r="E27" s="105" t="s">
        <v>721</v>
      </c>
      <c r="F27" s="67">
        <v>0.37</v>
      </c>
      <c r="G27" s="47">
        <v>0</v>
      </c>
      <c r="H27" s="47">
        <v>0</v>
      </c>
      <c r="I27" s="47">
        <v>1382.32</v>
      </c>
      <c r="J27" s="47">
        <v>1382.32</v>
      </c>
      <c r="K27" s="47">
        <v>0</v>
      </c>
      <c r="L27" s="47">
        <v>0</v>
      </c>
      <c r="M27" s="47">
        <v>5.18</v>
      </c>
      <c r="N27" s="47">
        <v>5.18</v>
      </c>
      <c r="P27" t="s">
        <v>265</v>
      </c>
      <c r="Q27" t="s">
        <v>264</v>
      </c>
    </row>
    <row r="28" spans="1:17" x14ac:dyDescent="0.15">
      <c r="A28" s="105" t="s">
        <v>230</v>
      </c>
      <c r="B28" s="105" t="s">
        <v>760</v>
      </c>
      <c r="C28" s="105" t="s">
        <v>762</v>
      </c>
      <c r="D28" s="105" t="s">
        <v>250</v>
      </c>
      <c r="E28" s="105" t="s">
        <v>251</v>
      </c>
      <c r="F28" s="67">
        <v>0.25</v>
      </c>
      <c r="G28" s="47">
        <v>0</v>
      </c>
      <c r="H28" s="47">
        <v>0</v>
      </c>
      <c r="I28" s="47">
        <v>934</v>
      </c>
      <c r="J28" s="47">
        <v>934</v>
      </c>
      <c r="K28" s="47">
        <v>0</v>
      </c>
      <c r="L28" s="47">
        <v>0</v>
      </c>
      <c r="M28" s="47">
        <v>3.5</v>
      </c>
      <c r="N28" s="47">
        <v>3.5</v>
      </c>
      <c r="P28" t="s">
        <v>721</v>
      </c>
      <c r="Q28" t="s">
        <v>239</v>
      </c>
    </row>
    <row r="29" spans="1:17" x14ac:dyDescent="0.15">
      <c r="A29" s="105" t="s">
        <v>203</v>
      </c>
      <c r="B29" s="105" t="s">
        <v>760</v>
      </c>
      <c r="C29" s="105" t="s">
        <v>204</v>
      </c>
      <c r="D29" s="105" t="s">
        <v>210</v>
      </c>
      <c r="E29" s="105" t="s">
        <v>211</v>
      </c>
      <c r="F29" s="67">
        <v>0.52</v>
      </c>
      <c r="G29" s="47">
        <v>0</v>
      </c>
      <c r="H29" s="47">
        <v>0</v>
      </c>
      <c r="I29" s="47">
        <v>7450.04</v>
      </c>
      <c r="J29" s="47">
        <v>7450.04</v>
      </c>
      <c r="K29" s="47">
        <v>0</v>
      </c>
      <c r="L29" s="47">
        <v>0</v>
      </c>
      <c r="M29" s="47">
        <v>203.84</v>
      </c>
      <c r="N29" s="47">
        <v>203.84</v>
      </c>
      <c r="P29" t="s">
        <v>763</v>
      </c>
      <c r="Q29" t="s">
        <v>214</v>
      </c>
    </row>
    <row r="30" spans="1:17" x14ac:dyDescent="0.15">
      <c r="A30" s="105" t="s">
        <v>203</v>
      </c>
      <c r="B30" s="105" t="s">
        <v>760</v>
      </c>
      <c r="C30" s="105" t="s">
        <v>204</v>
      </c>
      <c r="D30" s="105" t="s">
        <v>188</v>
      </c>
      <c r="E30" s="105" t="s">
        <v>189</v>
      </c>
      <c r="F30" s="67">
        <v>0.27</v>
      </c>
      <c r="G30" s="47">
        <v>0</v>
      </c>
      <c r="H30" s="47">
        <v>0</v>
      </c>
      <c r="I30" s="47">
        <v>3868.2900000000004</v>
      </c>
      <c r="J30" s="47">
        <v>3868.2900000000004</v>
      </c>
      <c r="K30" s="47">
        <v>0</v>
      </c>
      <c r="L30" s="47">
        <v>0</v>
      </c>
      <c r="M30" s="47">
        <v>105.84</v>
      </c>
      <c r="N30" s="47">
        <v>105.84</v>
      </c>
      <c r="P30" t="s">
        <v>175</v>
      </c>
      <c r="Q30" t="s">
        <v>174</v>
      </c>
    </row>
    <row r="31" spans="1:17" x14ac:dyDescent="0.15">
      <c r="A31" s="105" t="s">
        <v>203</v>
      </c>
      <c r="B31" s="105" t="s">
        <v>760</v>
      </c>
      <c r="C31" s="105" t="s">
        <v>204</v>
      </c>
      <c r="D31" s="105" t="s">
        <v>185</v>
      </c>
      <c r="E31" s="105" t="s">
        <v>723</v>
      </c>
      <c r="F31" s="67">
        <v>0.21</v>
      </c>
      <c r="G31" s="47">
        <v>0</v>
      </c>
      <c r="H31" s="47">
        <v>0</v>
      </c>
      <c r="I31" s="47">
        <v>3008.67</v>
      </c>
      <c r="J31" s="47">
        <v>3008.67</v>
      </c>
      <c r="K31" s="47">
        <v>0</v>
      </c>
      <c r="L31" s="47">
        <v>0</v>
      </c>
      <c r="M31" s="47">
        <v>82.32</v>
      </c>
      <c r="N31" s="47">
        <v>82.32</v>
      </c>
      <c r="P31" t="s">
        <v>792</v>
      </c>
      <c r="Q31" t="s">
        <v>791</v>
      </c>
    </row>
    <row r="32" spans="1:17" x14ac:dyDescent="0.15">
      <c r="A32" s="105" t="s">
        <v>207</v>
      </c>
      <c r="B32" s="105" t="s">
        <v>760</v>
      </c>
      <c r="C32" s="105" t="s">
        <v>717</v>
      </c>
      <c r="D32" s="105" t="s">
        <v>207</v>
      </c>
      <c r="E32" s="105" t="s">
        <v>717</v>
      </c>
      <c r="F32" s="67">
        <v>1</v>
      </c>
      <c r="G32" s="47">
        <v>21929</v>
      </c>
      <c r="H32" s="47">
        <v>0</v>
      </c>
      <c r="I32" s="47">
        <v>6840</v>
      </c>
      <c r="J32" s="47">
        <v>28769</v>
      </c>
      <c r="K32" s="47">
        <v>6019</v>
      </c>
      <c r="L32" s="47">
        <v>0</v>
      </c>
      <c r="M32" s="47">
        <v>320</v>
      </c>
      <c r="N32" s="47">
        <v>6339</v>
      </c>
      <c r="P32" t="s">
        <v>179</v>
      </c>
      <c r="Q32" t="s">
        <v>178</v>
      </c>
    </row>
    <row r="33" spans="1:17" x14ac:dyDescent="0.15">
      <c r="A33" s="105" t="s">
        <v>250</v>
      </c>
      <c r="B33" s="105" t="s">
        <v>760</v>
      </c>
      <c r="C33" s="105" t="s">
        <v>251</v>
      </c>
      <c r="D33" s="105" t="s">
        <v>250</v>
      </c>
      <c r="E33" s="105" t="s">
        <v>251</v>
      </c>
      <c r="F33" s="67">
        <v>1</v>
      </c>
      <c r="G33" s="47">
        <v>13804</v>
      </c>
      <c r="H33" s="47">
        <v>0</v>
      </c>
      <c r="I33" s="47">
        <v>4657</v>
      </c>
      <c r="J33" s="47">
        <v>18461</v>
      </c>
      <c r="K33" s="47">
        <v>5094</v>
      </c>
      <c r="L33" s="47">
        <v>0</v>
      </c>
      <c r="M33" s="47">
        <v>0</v>
      </c>
      <c r="N33" s="47">
        <v>5094</v>
      </c>
      <c r="P33" t="s">
        <v>722</v>
      </c>
      <c r="Q33" t="s">
        <v>276</v>
      </c>
    </row>
    <row r="34" spans="1:17" x14ac:dyDescent="0.15">
      <c r="A34" s="105" t="s">
        <v>258</v>
      </c>
      <c r="B34" s="105" t="s">
        <v>760</v>
      </c>
      <c r="C34" s="105" t="s">
        <v>718</v>
      </c>
      <c r="D34" s="105" t="s">
        <v>258</v>
      </c>
      <c r="E34" s="105" t="s">
        <v>718</v>
      </c>
      <c r="F34" s="67">
        <v>1</v>
      </c>
      <c r="G34" s="47">
        <v>11638</v>
      </c>
      <c r="H34" s="47">
        <v>0</v>
      </c>
      <c r="I34" s="47">
        <v>2921</v>
      </c>
      <c r="J34" s="47">
        <v>14559</v>
      </c>
      <c r="K34" s="47">
        <v>3809</v>
      </c>
      <c r="L34" s="47">
        <v>0</v>
      </c>
      <c r="M34" s="47">
        <v>436</v>
      </c>
      <c r="N34" s="47">
        <v>4245</v>
      </c>
      <c r="P34" t="s">
        <v>223</v>
      </c>
      <c r="Q34" t="s">
        <v>222</v>
      </c>
    </row>
    <row r="35" spans="1:17" x14ac:dyDescent="0.15">
      <c r="A35" s="105" t="s">
        <v>233</v>
      </c>
      <c r="B35" s="105" t="s">
        <v>760</v>
      </c>
      <c r="C35" s="105" t="s">
        <v>719</v>
      </c>
      <c r="D35" s="105" t="s">
        <v>233</v>
      </c>
      <c r="E35" s="105" t="s">
        <v>719</v>
      </c>
      <c r="F35" s="67">
        <v>1</v>
      </c>
      <c r="G35" s="47">
        <v>11004</v>
      </c>
      <c r="H35" s="47">
        <v>0</v>
      </c>
      <c r="I35" s="47">
        <v>7279</v>
      </c>
      <c r="J35" s="47">
        <v>18283</v>
      </c>
      <c r="K35" s="47">
        <v>4273</v>
      </c>
      <c r="L35" s="47">
        <v>0</v>
      </c>
      <c r="M35" s="47">
        <v>217</v>
      </c>
      <c r="N35" s="47">
        <v>4490</v>
      </c>
      <c r="P35" t="s">
        <v>189</v>
      </c>
      <c r="Q35" t="s">
        <v>188</v>
      </c>
    </row>
    <row r="36" spans="1:17" x14ac:dyDescent="0.15">
      <c r="A36" s="105" t="s">
        <v>166</v>
      </c>
      <c r="B36" s="105" t="s">
        <v>760</v>
      </c>
      <c r="C36" s="105" t="s">
        <v>167</v>
      </c>
      <c r="D36" s="105" t="s">
        <v>130</v>
      </c>
      <c r="E36" s="105" t="s">
        <v>716</v>
      </c>
      <c r="F36" s="67">
        <v>1</v>
      </c>
      <c r="G36" s="47">
        <v>0</v>
      </c>
      <c r="H36" s="47">
        <v>0</v>
      </c>
      <c r="I36" s="47">
        <v>2752</v>
      </c>
      <c r="J36" s="47">
        <v>2752</v>
      </c>
      <c r="K36" s="47">
        <v>0</v>
      </c>
      <c r="L36" s="47">
        <v>0</v>
      </c>
      <c r="M36" s="47">
        <v>25</v>
      </c>
      <c r="N36" s="47">
        <v>25</v>
      </c>
      <c r="P36" t="s">
        <v>723</v>
      </c>
      <c r="Q36" t="s">
        <v>185</v>
      </c>
    </row>
    <row r="37" spans="1:17" x14ac:dyDescent="0.15">
      <c r="A37" s="105" t="s">
        <v>142</v>
      </c>
      <c r="B37" s="105" t="s">
        <v>760</v>
      </c>
      <c r="C37" s="105" t="s">
        <v>143</v>
      </c>
      <c r="D37" s="105" t="s">
        <v>142</v>
      </c>
      <c r="E37" s="105" t="s">
        <v>143</v>
      </c>
      <c r="F37" s="67">
        <v>1</v>
      </c>
      <c r="G37" s="47">
        <v>11472</v>
      </c>
      <c r="H37" s="47">
        <v>0</v>
      </c>
      <c r="I37" s="47">
        <v>0</v>
      </c>
      <c r="J37" s="47">
        <v>11472</v>
      </c>
      <c r="K37" s="47">
        <v>2468</v>
      </c>
      <c r="L37" s="47">
        <v>0</v>
      </c>
      <c r="M37" s="47">
        <v>0</v>
      </c>
      <c r="N37" s="47">
        <v>2468</v>
      </c>
      <c r="P37" t="s">
        <v>310</v>
      </c>
      <c r="Q37" t="s">
        <v>309</v>
      </c>
    </row>
    <row r="38" spans="1:17" x14ac:dyDescent="0.15">
      <c r="A38" s="105" t="s">
        <v>261</v>
      </c>
      <c r="B38" s="105" t="s">
        <v>760</v>
      </c>
      <c r="C38" s="105" t="s">
        <v>764</v>
      </c>
      <c r="D38" s="105" t="s">
        <v>264</v>
      </c>
      <c r="E38" s="105" t="s">
        <v>265</v>
      </c>
      <c r="F38" s="67">
        <v>1</v>
      </c>
      <c r="G38" s="47">
        <v>0</v>
      </c>
      <c r="H38" s="47">
        <v>0</v>
      </c>
      <c r="I38" s="47">
        <v>0</v>
      </c>
      <c r="J38" s="47">
        <v>0</v>
      </c>
      <c r="K38" s="47">
        <v>0</v>
      </c>
      <c r="L38" s="47">
        <v>0</v>
      </c>
      <c r="M38" s="47">
        <v>0</v>
      </c>
      <c r="N38" s="47">
        <v>0</v>
      </c>
      <c r="P38" t="s">
        <v>377</v>
      </c>
      <c r="Q38" t="s">
        <v>376</v>
      </c>
    </row>
    <row r="39" spans="1:17" x14ac:dyDescent="0.15">
      <c r="A39" s="105" t="s">
        <v>210</v>
      </c>
      <c r="B39" s="105" t="s">
        <v>760</v>
      </c>
      <c r="C39" s="105" t="s">
        <v>211</v>
      </c>
      <c r="D39" s="105" t="s">
        <v>210</v>
      </c>
      <c r="E39" s="105" t="s">
        <v>211</v>
      </c>
      <c r="F39" s="67">
        <v>1</v>
      </c>
      <c r="G39" s="47">
        <v>12877</v>
      </c>
      <c r="H39" s="47">
        <v>4284</v>
      </c>
      <c r="I39" s="47">
        <v>7902</v>
      </c>
      <c r="J39" s="47">
        <v>25063</v>
      </c>
      <c r="K39" s="47">
        <v>5503</v>
      </c>
      <c r="L39" s="47">
        <v>281</v>
      </c>
      <c r="M39" s="47">
        <v>364</v>
      </c>
      <c r="N39" s="47">
        <v>6148</v>
      </c>
      <c r="P39" t="s">
        <v>379</v>
      </c>
      <c r="Q39" t="s">
        <v>378</v>
      </c>
    </row>
    <row r="40" spans="1:17" x14ac:dyDescent="0.15">
      <c r="A40" s="105" t="s">
        <v>236</v>
      </c>
      <c r="B40" s="105" t="s">
        <v>760</v>
      </c>
      <c r="C40" s="105" t="s">
        <v>720</v>
      </c>
      <c r="D40" s="105" t="s">
        <v>236</v>
      </c>
      <c r="E40" s="105" t="s">
        <v>720</v>
      </c>
      <c r="F40" s="67">
        <v>1</v>
      </c>
      <c r="G40" s="47">
        <v>16246</v>
      </c>
      <c r="H40" s="47">
        <v>0</v>
      </c>
      <c r="I40" s="47">
        <v>11134</v>
      </c>
      <c r="J40" s="47">
        <v>27380</v>
      </c>
      <c r="K40" s="47">
        <v>7831</v>
      </c>
      <c r="L40" s="47">
        <v>0</v>
      </c>
      <c r="M40" s="47">
        <v>613</v>
      </c>
      <c r="N40" s="47">
        <v>8444</v>
      </c>
      <c r="P40" t="s">
        <v>385</v>
      </c>
      <c r="Q40" t="s">
        <v>384</v>
      </c>
    </row>
    <row r="41" spans="1:17" x14ac:dyDescent="0.15">
      <c r="A41" s="105" t="s">
        <v>264</v>
      </c>
      <c r="B41" s="105" t="s">
        <v>760</v>
      </c>
      <c r="C41" s="105" t="s">
        <v>265</v>
      </c>
      <c r="D41" s="105" t="s">
        <v>264</v>
      </c>
      <c r="E41" s="105" t="s">
        <v>265</v>
      </c>
      <c r="F41" s="67">
        <v>1</v>
      </c>
      <c r="G41" s="47">
        <v>7544</v>
      </c>
      <c r="H41" s="47">
        <v>0</v>
      </c>
      <c r="I41" s="47">
        <v>8597</v>
      </c>
      <c r="J41" s="47">
        <v>16141</v>
      </c>
      <c r="K41" s="47">
        <v>4412</v>
      </c>
      <c r="L41" s="47">
        <v>0</v>
      </c>
      <c r="M41" s="47">
        <v>533</v>
      </c>
      <c r="N41" s="47">
        <v>4945</v>
      </c>
      <c r="P41" t="s">
        <v>725</v>
      </c>
      <c r="Q41" t="s">
        <v>404</v>
      </c>
    </row>
    <row r="42" spans="1:17" x14ac:dyDescent="0.15">
      <c r="A42" s="105" t="s">
        <v>239</v>
      </c>
      <c r="B42" s="105" t="s">
        <v>760</v>
      </c>
      <c r="C42" s="105" t="s">
        <v>721</v>
      </c>
      <c r="D42" s="105" t="s">
        <v>239</v>
      </c>
      <c r="E42" s="105" t="s">
        <v>721</v>
      </c>
      <c r="F42" s="67">
        <v>1</v>
      </c>
      <c r="G42" s="47">
        <v>16492</v>
      </c>
      <c r="H42" s="47">
        <v>0</v>
      </c>
      <c r="I42" s="47">
        <v>17231</v>
      </c>
      <c r="J42" s="47">
        <v>33723</v>
      </c>
      <c r="K42" s="47">
        <v>9227</v>
      </c>
      <c r="L42" s="47">
        <v>0</v>
      </c>
      <c r="M42" s="47">
        <v>515</v>
      </c>
      <c r="N42" s="47">
        <v>9742</v>
      </c>
      <c r="P42" t="s">
        <v>387</v>
      </c>
      <c r="Q42" t="s">
        <v>386</v>
      </c>
    </row>
    <row r="43" spans="1:17" x14ac:dyDescent="0.15">
      <c r="A43" s="105" t="s">
        <v>214</v>
      </c>
      <c r="B43" s="105" t="s">
        <v>760</v>
      </c>
      <c r="C43" s="105" t="s">
        <v>215</v>
      </c>
      <c r="D43" s="105" t="s">
        <v>214</v>
      </c>
      <c r="E43" s="105" t="s">
        <v>215</v>
      </c>
      <c r="F43" s="67">
        <v>1</v>
      </c>
      <c r="G43" s="47">
        <v>15095</v>
      </c>
      <c r="H43" s="47">
        <v>0</v>
      </c>
      <c r="I43" s="47">
        <v>16071</v>
      </c>
      <c r="J43" s="47">
        <v>31166</v>
      </c>
      <c r="K43" s="47">
        <v>7406</v>
      </c>
      <c r="L43" s="47">
        <v>0</v>
      </c>
      <c r="M43" s="47">
        <v>255</v>
      </c>
      <c r="N43" s="47">
        <v>7661</v>
      </c>
      <c r="P43" t="s">
        <v>765</v>
      </c>
      <c r="Q43" t="s">
        <v>388</v>
      </c>
    </row>
    <row r="44" spans="1:17" x14ac:dyDescent="0.15">
      <c r="A44" s="105" t="s">
        <v>174</v>
      </c>
      <c r="B44" s="105" t="s">
        <v>760</v>
      </c>
      <c r="C44" s="105" t="s">
        <v>175</v>
      </c>
      <c r="D44" s="105" t="s">
        <v>174</v>
      </c>
      <c r="E44" s="105" t="s">
        <v>175</v>
      </c>
      <c r="F44" s="67">
        <v>1</v>
      </c>
      <c r="G44" s="47">
        <v>0</v>
      </c>
      <c r="H44" s="47">
        <v>6569</v>
      </c>
      <c r="I44" s="47">
        <v>0</v>
      </c>
      <c r="J44" s="47">
        <v>6569</v>
      </c>
      <c r="K44" s="47">
        <v>0</v>
      </c>
      <c r="L44" s="47">
        <v>484</v>
      </c>
      <c r="M44" s="47">
        <v>0</v>
      </c>
      <c r="N44" s="47">
        <v>484</v>
      </c>
      <c r="P44" t="s">
        <v>766</v>
      </c>
      <c r="Q44" t="s">
        <v>313</v>
      </c>
    </row>
    <row r="45" spans="1:17" x14ac:dyDescent="0.15">
      <c r="A45" s="105" t="s">
        <v>146</v>
      </c>
      <c r="B45" s="105" t="s">
        <v>760</v>
      </c>
      <c r="C45" s="105" t="s">
        <v>147</v>
      </c>
      <c r="D45" s="105" t="s">
        <v>364</v>
      </c>
      <c r="E45" s="105" t="s">
        <v>365</v>
      </c>
      <c r="F45" s="67">
        <v>1</v>
      </c>
      <c r="G45" s="47">
        <v>0</v>
      </c>
      <c r="H45" s="47">
        <v>0</v>
      </c>
      <c r="I45" s="47">
        <v>1626</v>
      </c>
      <c r="J45" s="47">
        <v>1626</v>
      </c>
      <c r="K45" s="47">
        <v>0</v>
      </c>
      <c r="L45" s="47">
        <v>0</v>
      </c>
      <c r="M45" s="47">
        <v>28</v>
      </c>
      <c r="N45" s="47">
        <v>28</v>
      </c>
      <c r="P45" t="s">
        <v>406</v>
      </c>
      <c r="Q45" t="s">
        <v>405</v>
      </c>
    </row>
    <row r="46" spans="1:17" x14ac:dyDescent="0.15">
      <c r="A46" s="105" t="s">
        <v>791</v>
      </c>
      <c r="B46" s="105" t="s">
        <v>760</v>
      </c>
      <c r="C46" s="105" t="s">
        <v>792</v>
      </c>
      <c r="D46" s="105" t="s">
        <v>791</v>
      </c>
      <c r="E46" s="105" t="s">
        <v>792</v>
      </c>
      <c r="F46" s="67">
        <v>1</v>
      </c>
      <c r="G46" s="47">
        <v>0</v>
      </c>
      <c r="H46" s="47">
        <v>0</v>
      </c>
      <c r="I46" s="47">
        <v>0</v>
      </c>
      <c r="J46" s="47">
        <v>0</v>
      </c>
      <c r="K46" s="47">
        <v>0</v>
      </c>
      <c r="L46" s="47">
        <v>0</v>
      </c>
      <c r="M46" s="47">
        <v>0</v>
      </c>
      <c r="N46" s="47">
        <v>0</v>
      </c>
      <c r="P46" t="s">
        <v>408</v>
      </c>
      <c r="Q46" t="s">
        <v>407</v>
      </c>
    </row>
    <row r="47" spans="1:17" x14ac:dyDescent="0.15">
      <c r="A47" s="105" t="s">
        <v>178</v>
      </c>
      <c r="B47" s="105" t="s">
        <v>760</v>
      </c>
      <c r="C47" s="105" t="s">
        <v>179</v>
      </c>
      <c r="D47" s="105" t="s">
        <v>178</v>
      </c>
      <c r="E47" s="105" t="s">
        <v>179</v>
      </c>
      <c r="F47" s="67">
        <v>1</v>
      </c>
      <c r="G47" s="47">
        <v>27627</v>
      </c>
      <c r="H47" s="47">
        <v>625</v>
      </c>
      <c r="I47" s="47">
        <v>16844</v>
      </c>
      <c r="J47" s="47">
        <v>45096</v>
      </c>
      <c r="K47" s="47">
        <v>8220</v>
      </c>
      <c r="L47" s="47">
        <v>1</v>
      </c>
      <c r="M47" s="47">
        <v>754</v>
      </c>
      <c r="N47" s="47">
        <v>8975</v>
      </c>
      <c r="P47" t="s">
        <v>363</v>
      </c>
      <c r="Q47" t="s">
        <v>362</v>
      </c>
    </row>
    <row r="48" spans="1:17" x14ac:dyDescent="0.15">
      <c r="A48" s="105" t="s">
        <v>276</v>
      </c>
      <c r="B48" s="105" t="s">
        <v>760</v>
      </c>
      <c r="C48" s="105" t="s">
        <v>722</v>
      </c>
      <c r="D48" s="105" t="s">
        <v>276</v>
      </c>
      <c r="E48" s="105" t="s">
        <v>722</v>
      </c>
      <c r="F48" s="67">
        <v>1</v>
      </c>
      <c r="G48" s="47">
        <v>10006</v>
      </c>
      <c r="H48" s="47">
        <v>0</v>
      </c>
      <c r="I48" s="47">
        <v>4101</v>
      </c>
      <c r="J48" s="47">
        <v>14107</v>
      </c>
      <c r="K48" s="47">
        <v>2879</v>
      </c>
      <c r="L48" s="47">
        <v>0</v>
      </c>
      <c r="M48" s="47">
        <v>194</v>
      </c>
      <c r="N48" s="47">
        <v>3073</v>
      </c>
      <c r="P48" t="s">
        <v>301</v>
      </c>
      <c r="Q48" t="s">
        <v>300</v>
      </c>
    </row>
    <row r="49" spans="1:17" x14ac:dyDescent="0.15">
      <c r="A49" s="105" t="s">
        <v>222</v>
      </c>
      <c r="B49" s="105" t="s">
        <v>760</v>
      </c>
      <c r="C49" s="105" t="s">
        <v>223</v>
      </c>
      <c r="D49" s="105" t="s">
        <v>222</v>
      </c>
      <c r="E49" s="105" t="s">
        <v>223</v>
      </c>
      <c r="F49" s="67">
        <v>1</v>
      </c>
      <c r="G49" s="47">
        <v>5219</v>
      </c>
      <c r="H49" s="47">
        <v>0</v>
      </c>
      <c r="I49" s="47">
        <v>7405</v>
      </c>
      <c r="J49" s="47">
        <v>12624</v>
      </c>
      <c r="K49" s="47">
        <v>2218</v>
      </c>
      <c r="L49" s="47">
        <v>0</v>
      </c>
      <c r="M49" s="47">
        <v>73</v>
      </c>
      <c r="N49" s="47">
        <v>2291</v>
      </c>
      <c r="P49" t="s">
        <v>726</v>
      </c>
      <c r="Q49" t="s">
        <v>315</v>
      </c>
    </row>
    <row r="50" spans="1:17" x14ac:dyDescent="0.15">
      <c r="A50" s="105" t="s">
        <v>192</v>
      </c>
      <c r="B50" s="105" t="s">
        <v>760</v>
      </c>
      <c r="C50" s="105" t="s">
        <v>767</v>
      </c>
      <c r="D50" s="105" t="s">
        <v>214</v>
      </c>
      <c r="E50" s="105" t="s">
        <v>215</v>
      </c>
      <c r="F50" s="67">
        <v>1</v>
      </c>
      <c r="G50" s="47">
        <v>0</v>
      </c>
      <c r="H50" s="47">
        <v>0</v>
      </c>
      <c r="I50" s="47">
        <v>0</v>
      </c>
      <c r="J50" s="47">
        <v>0</v>
      </c>
      <c r="K50" s="47">
        <v>0</v>
      </c>
      <c r="L50" s="47">
        <v>0</v>
      </c>
      <c r="M50" s="47">
        <v>0</v>
      </c>
      <c r="N50" s="47">
        <v>0</v>
      </c>
      <c r="P50" t="s">
        <v>768</v>
      </c>
      <c r="Q50" t="s">
        <v>332</v>
      </c>
    </row>
    <row r="51" spans="1:17" x14ac:dyDescent="0.15">
      <c r="A51" s="105" t="s">
        <v>188</v>
      </c>
      <c r="B51" s="105" t="s">
        <v>760</v>
      </c>
      <c r="C51" s="105" t="s">
        <v>189</v>
      </c>
      <c r="D51" s="105" t="s">
        <v>188</v>
      </c>
      <c r="E51" s="105" t="s">
        <v>189</v>
      </c>
      <c r="F51" s="67">
        <v>1</v>
      </c>
      <c r="G51" s="47">
        <v>14600</v>
      </c>
      <c r="H51" s="47">
        <v>0</v>
      </c>
      <c r="I51" s="47">
        <v>0</v>
      </c>
      <c r="J51" s="47">
        <v>14600</v>
      </c>
      <c r="K51" s="47">
        <v>3700</v>
      </c>
      <c r="L51" s="47">
        <v>0</v>
      </c>
      <c r="M51" s="47">
        <v>0</v>
      </c>
      <c r="N51" s="47">
        <v>3700</v>
      </c>
      <c r="P51" t="s">
        <v>727</v>
      </c>
      <c r="Q51" t="s">
        <v>357</v>
      </c>
    </row>
    <row r="52" spans="1:17" x14ac:dyDescent="0.15">
      <c r="A52" s="105" t="s">
        <v>185</v>
      </c>
      <c r="B52" s="105" t="s">
        <v>760</v>
      </c>
      <c r="C52" s="105" t="s">
        <v>723</v>
      </c>
      <c r="D52" s="105" t="s">
        <v>185</v>
      </c>
      <c r="E52" s="105" t="s">
        <v>723</v>
      </c>
      <c r="F52" s="67">
        <v>1</v>
      </c>
      <c r="G52" s="47">
        <v>9715</v>
      </c>
      <c r="H52" s="47">
        <v>0</v>
      </c>
      <c r="I52" s="47">
        <v>0</v>
      </c>
      <c r="J52" s="47">
        <v>9715</v>
      </c>
      <c r="K52" s="47">
        <v>2706</v>
      </c>
      <c r="L52" s="47">
        <v>0</v>
      </c>
      <c r="M52" s="47">
        <v>0</v>
      </c>
      <c r="N52" s="47">
        <v>2706</v>
      </c>
      <c r="P52" t="s">
        <v>410</v>
      </c>
      <c r="Q52" t="s">
        <v>409</v>
      </c>
    </row>
    <row r="53" spans="1:17" x14ac:dyDescent="0.15">
      <c r="A53" s="105" t="s">
        <v>295</v>
      </c>
      <c r="B53" s="105" t="s">
        <v>848</v>
      </c>
      <c r="C53" s="105" t="s">
        <v>724</v>
      </c>
      <c r="D53" s="105" t="s">
        <v>295</v>
      </c>
      <c r="E53" s="105" t="s">
        <v>724</v>
      </c>
      <c r="F53" s="67">
        <v>1</v>
      </c>
      <c r="G53" s="47">
        <v>4840</v>
      </c>
      <c r="H53" s="47">
        <v>0</v>
      </c>
      <c r="I53" s="47">
        <v>897</v>
      </c>
      <c r="J53" s="47">
        <v>5737</v>
      </c>
      <c r="K53" s="47">
        <v>1248</v>
      </c>
      <c r="L53" s="47">
        <v>0</v>
      </c>
      <c r="M53" s="47">
        <v>0</v>
      </c>
      <c r="N53" s="47">
        <v>1248</v>
      </c>
      <c r="P53" t="s">
        <v>317</v>
      </c>
      <c r="Q53" t="s">
        <v>316</v>
      </c>
    </row>
    <row r="54" spans="1:17" x14ac:dyDescent="0.15">
      <c r="A54" s="105" t="s">
        <v>330</v>
      </c>
      <c r="B54" s="105" t="s">
        <v>848</v>
      </c>
      <c r="C54" s="105" t="s">
        <v>331</v>
      </c>
      <c r="D54" s="105" t="s">
        <v>330</v>
      </c>
      <c r="E54" s="105" t="s">
        <v>331</v>
      </c>
      <c r="F54" s="67">
        <v>1</v>
      </c>
      <c r="G54" s="47">
        <v>6890</v>
      </c>
      <c r="H54" s="47">
        <v>0</v>
      </c>
      <c r="I54" s="47">
        <v>5220</v>
      </c>
      <c r="J54" s="47">
        <v>12110</v>
      </c>
      <c r="K54" s="47">
        <v>3350</v>
      </c>
      <c r="L54" s="47">
        <v>0</v>
      </c>
      <c r="M54" s="47">
        <v>68</v>
      </c>
      <c r="N54" s="47">
        <v>3418</v>
      </c>
      <c r="P54" t="s">
        <v>319</v>
      </c>
      <c r="Q54" t="s">
        <v>318</v>
      </c>
    </row>
    <row r="55" spans="1:17" x14ac:dyDescent="0.15">
      <c r="A55" s="105" t="s">
        <v>374</v>
      </c>
      <c r="B55" s="105" t="s">
        <v>848</v>
      </c>
      <c r="C55" s="105" t="s">
        <v>375</v>
      </c>
      <c r="D55" s="105" t="s">
        <v>376</v>
      </c>
      <c r="E55" s="105" t="s">
        <v>377</v>
      </c>
      <c r="F55" s="67">
        <v>1</v>
      </c>
      <c r="G55" s="47">
        <v>0</v>
      </c>
      <c r="H55" s="47">
        <v>0</v>
      </c>
      <c r="I55" s="47">
        <v>0</v>
      </c>
      <c r="J55" s="47">
        <v>0</v>
      </c>
      <c r="K55" s="47">
        <v>0</v>
      </c>
      <c r="L55" s="47">
        <v>0</v>
      </c>
      <c r="M55" s="47">
        <v>0</v>
      </c>
      <c r="N55" s="47">
        <v>0</v>
      </c>
      <c r="P55" t="s">
        <v>530</v>
      </c>
      <c r="Q55" t="s">
        <v>529</v>
      </c>
    </row>
    <row r="56" spans="1:17" x14ac:dyDescent="0.15">
      <c r="A56" s="105" t="s">
        <v>334</v>
      </c>
      <c r="B56" s="105" t="s">
        <v>848</v>
      </c>
      <c r="C56" s="105" t="s">
        <v>335</v>
      </c>
      <c r="D56" s="105" t="s">
        <v>332</v>
      </c>
      <c r="E56" s="105" t="s">
        <v>333</v>
      </c>
      <c r="F56" s="67">
        <v>0.52</v>
      </c>
      <c r="G56" s="47">
        <v>0</v>
      </c>
      <c r="H56" s="47">
        <v>0</v>
      </c>
      <c r="I56" s="47">
        <v>4239.04</v>
      </c>
      <c r="J56" s="47">
        <v>4239.04</v>
      </c>
      <c r="K56" s="47">
        <v>0</v>
      </c>
      <c r="L56" s="47">
        <v>0</v>
      </c>
      <c r="M56" s="47">
        <v>252.72</v>
      </c>
      <c r="N56" s="47">
        <v>252.72</v>
      </c>
      <c r="P56" t="s">
        <v>522</v>
      </c>
      <c r="Q56" t="s">
        <v>521</v>
      </c>
    </row>
    <row r="57" spans="1:17" x14ac:dyDescent="0.15">
      <c r="A57" s="105" t="s">
        <v>334</v>
      </c>
      <c r="B57" s="105" t="s">
        <v>848</v>
      </c>
      <c r="C57" s="105" t="s">
        <v>335</v>
      </c>
      <c r="D57" s="105" t="s">
        <v>330</v>
      </c>
      <c r="E57" s="105" t="s">
        <v>331</v>
      </c>
      <c r="F57" s="67">
        <v>0.48</v>
      </c>
      <c r="G57" s="47">
        <v>0</v>
      </c>
      <c r="H57" s="47">
        <v>0</v>
      </c>
      <c r="I57" s="47">
        <v>3912.96</v>
      </c>
      <c r="J57" s="47">
        <v>3912.96</v>
      </c>
      <c r="K57" s="47">
        <v>0</v>
      </c>
      <c r="L57" s="47">
        <v>0</v>
      </c>
      <c r="M57" s="47">
        <v>233.28</v>
      </c>
      <c r="N57" s="47">
        <v>233.28</v>
      </c>
      <c r="P57" t="s">
        <v>532</v>
      </c>
      <c r="Q57" t="s">
        <v>531</v>
      </c>
    </row>
    <row r="58" spans="1:17" x14ac:dyDescent="0.15">
      <c r="A58" s="105" t="s">
        <v>337</v>
      </c>
      <c r="B58" s="105" t="s">
        <v>848</v>
      </c>
      <c r="C58" s="105" t="s">
        <v>338</v>
      </c>
      <c r="D58" s="105" t="s">
        <v>332</v>
      </c>
      <c r="E58" s="105" t="s">
        <v>333</v>
      </c>
      <c r="F58" s="67">
        <v>0.61</v>
      </c>
      <c r="G58" s="47">
        <v>0</v>
      </c>
      <c r="H58" s="47">
        <v>0</v>
      </c>
      <c r="I58" s="47">
        <v>1163.8799999999999</v>
      </c>
      <c r="J58" s="47">
        <v>1163.8799999999999</v>
      </c>
      <c r="K58" s="47">
        <v>0</v>
      </c>
      <c r="L58" s="47">
        <v>0</v>
      </c>
      <c r="M58" s="47">
        <v>0.61</v>
      </c>
      <c r="N58" s="47">
        <v>0.61</v>
      </c>
      <c r="P58" t="s">
        <v>729</v>
      </c>
      <c r="Q58" t="s">
        <v>533</v>
      </c>
    </row>
    <row r="59" spans="1:17" x14ac:dyDescent="0.15">
      <c r="A59" s="105" t="s">
        <v>337</v>
      </c>
      <c r="B59" s="105" t="s">
        <v>848</v>
      </c>
      <c r="C59" s="105" t="s">
        <v>338</v>
      </c>
      <c r="D59" s="105" t="s">
        <v>330</v>
      </c>
      <c r="E59" s="105" t="s">
        <v>331</v>
      </c>
      <c r="F59" s="67">
        <v>0.39</v>
      </c>
      <c r="G59" s="47">
        <v>0</v>
      </c>
      <c r="H59" s="47">
        <v>0</v>
      </c>
      <c r="I59" s="47">
        <v>744.12</v>
      </c>
      <c r="J59" s="47">
        <v>744.12</v>
      </c>
      <c r="K59" s="47">
        <v>0</v>
      </c>
      <c r="L59" s="47">
        <v>0</v>
      </c>
      <c r="M59" s="47">
        <v>0.39</v>
      </c>
      <c r="N59" s="47">
        <v>0.39</v>
      </c>
      <c r="P59" t="s">
        <v>730</v>
      </c>
      <c r="Q59" t="s">
        <v>445</v>
      </c>
    </row>
    <row r="60" spans="1:17" x14ac:dyDescent="0.15">
      <c r="A60" s="105" t="s">
        <v>309</v>
      </c>
      <c r="B60" s="105" t="s">
        <v>848</v>
      </c>
      <c r="C60" s="105" t="s">
        <v>310</v>
      </c>
      <c r="D60" s="105" t="s">
        <v>309</v>
      </c>
      <c r="E60" s="105" t="s">
        <v>310</v>
      </c>
      <c r="F60" s="67">
        <v>1</v>
      </c>
      <c r="G60" s="47">
        <v>7779</v>
      </c>
      <c r="H60" s="47">
        <v>0</v>
      </c>
      <c r="I60" s="47">
        <v>1653</v>
      </c>
      <c r="J60" s="47">
        <v>9432</v>
      </c>
      <c r="K60" s="47">
        <v>1252</v>
      </c>
      <c r="L60" s="47">
        <v>0</v>
      </c>
      <c r="M60" s="47">
        <v>0</v>
      </c>
      <c r="N60" s="47">
        <v>1252</v>
      </c>
      <c r="P60" t="s">
        <v>731</v>
      </c>
      <c r="Q60" t="s">
        <v>523</v>
      </c>
    </row>
    <row r="61" spans="1:17" x14ac:dyDescent="0.15">
      <c r="A61" s="105" t="s">
        <v>376</v>
      </c>
      <c r="B61" s="105" t="s">
        <v>848</v>
      </c>
      <c r="C61" s="105" t="s">
        <v>377</v>
      </c>
      <c r="D61" s="105" t="s">
        <v>376</v>
      </c>
      <c r="E61" s="105" t="s">
        <v>377</v>
      </c>
      <c r="F61" s="67">
        <v>1</v>
      </c>
      <c r="G61" s="47">
        <v>11028</v>
      </c>
      <c r="H61" s="47">
        <v>0</v>
      </c>
      <c r="I61" s="47">
        <v>8976</v>
      </c>
      <c r="J61" s="47">
        <v>20004</v>
      </c>
      <c r="K61" s="47">
        <v>4339</v>
      </c>
      <c r="L61" s="47">
        <v>0</v>
      </c>
      <c r="M61" s="47">
        <v>21</v>
      </c>
      <c r="N61" s="47">
        <v>4360</v>
      </c>
      <c r="P61" t="s">
        <v>449</v>
      </c>
      <c r="Q61" t="s">
        <v>448</v>
      </c>
    </row>
    <row r="62" spans="1:17" x14ac:dyDescent="0.15">
      <c r="A62" s="105" t="s">
        <v>339</v>
      </c>
      <c r="B62" s="105" t="s">
        <v>848</v>
      </c>
      <c r="C62" s="105" t="s">
        <v>340</v>
      </c>
      <c r="D62" s="105" t="s">
        <v>357</v>
      </c>
      <c r="E62" s="105" t="s">
        <v>727</v>
      </c>
      <c r="F62" s="67">
        <v>1</v>
      </c>
      <c r="G62" s="47">
        <v>0</v>
      </c>
      <c r="H62" s="47">
        <v>0</v>
      </c>
      <c r="I62" s="47">
        <v>384</v>
      </c>
      <c r="J62" s="47">
        <v>384</v>
      </c>
      <c r="K62" s="47">
        <v>0</v>
      </c>
      <c r="L62" s="47">
        <v>0</v>
      </c>
      <c r="M62" s="47">
        <v>0</v>
      </c>
      <c r="N62" s="47">
        <v>0</v>
      </c>
      <c r="P62" t="s">
        <v>732</v>
      </c>
      <c r="Q62" t="s">
        <v>534</v>
      </c>
    </row>
    <row r="63" spans="1:17" x14ac:dyDescent="0.15">
      <c r="A63" s="105" t="s">
        <v>358</v>
      </c>
      <c r="B63" s="105" t="s">
        <v>848</v>
      </c>
      <c r="C63" s="105" t="s">
        <v>359</v>
      </c>
      <c r="D63" s="105" t="s">
        <v>362</v>
      </c>
      <c r="E63" s="105" t="s">
        <v>363</v>
      </c>
      <c r="F63" s="67">
        <v>1</v>
      </c>
      <c r="G63" s="47">
        <v>0</v>
      </c>
      <c r="H63" s="47">
        <v>0</v>
      </c>
      <c r="I63" s="47">
        <v>9745</v>
      </c>
      <c r="J63" s="47">
        <v>9745</v>
      </c>
      <c r="K63" s="47">
        <v>0</v>
      </c>
      <c r="L63" s="47">
        <v>0</v>
      </c>
      <c r="M63" s="47">
        <v>238</v>
      </c>
      <c r="N63" s="47">
        <v>238</v>
      </c>
      <c r="P63" t="s">
        <v>769</v>
      </c>
      <c r="Q63" t="s">
        <v>510</v>
      </c>
    </row>
    <row r="64" spans="1:17" x14ac:dyDescent="0.15">
      <c r="A64" s="105" t="s">
        <v>336</v>
      </c>
      <c r="B64" s="105" t="s">
        <v>848</v>
      </c>
      <c r="C64" s="105" t="s">
        <v>771</v>
      </c>
      <c r="D64" s="105" t="s">
        <v>357</v>
      </c>
      <c r="E64" s="105" t="s">
        <v>727</v>
      </c>
      <c r="F64" s="67">
        <v>1</v>
      </c>
      <c r="G64" s="47">
        <v>0</v>
      </c>
      <c r="H64" s="47">
        <v>0</v>
      </c>
      <c r="I64" s="47">
        <v>2676</v>
      </c>
      <c r="J64" s="47">
        <v>2676</v>
      </c>
      <c r="K64" s="47">
        <v>0</v>
      </c>
      <c r="L64" s="47">
        <v>0</v>
      </c>
      <c r="M64" s="47">
        <v>0</v>
      </c>
      <c r="N64" s="47">
        <v>0</v>
      </c>
      <c r="P64" t="s">
        <v>538</v>
      </c>
      <c r="Q64" t="s">
        <v>537</v>
      </c>
    </row>
    <row r="65" spans="1:17" x14ac:dyDescent="0.15">
      <c r="A65" s="105" t="s">
        <v>341</v>
      </c>
      <c r="B65" s="105" t="s">
        <v>848</v>
      </c>
      <c r="C65" s="105" t="s">
        <v>342</v>
      </c>
      <c r="D65" s="105" t="s">
        <v>357</v>
      </c>
      <c r="E65" s="105" t="s">
        <v>727</v>
      </c>
      <c r="F65" s="67">
        <v>1</v>
      </c>
      <c r="G65" s="47">
        <v>0</v>
      </c>
      <c r="H65" s="47">
        <v>0</v>
      </c>
      <c r="I65" s="47">
        <v>7847</v>
      </c>
      <c r="J65" s="47">
        <v>7847</v>
      </c>
      <c r="K65" s="47">
        <v>0</v>
      </c>
      <c r="L65" s="47">
        <v>0</v>
      </c>
      <c r="M65" s="47">
        <v>52</v>
      </c>
      <c r="N65" s="47">
        <v>52</v>
      </c>
      <c r="P65" t="s">
        <v>770</v>
      </c>
      <c r="Q65" t="s">
        <v>541</v>
      </c>
    </row>
    <row r="66" spans="1:17" x14ac:dyDescent="0.15">
      <c r="A66" s="105" t="s">
        <v>343</v>
      </c>
      <c r="B66" s="105" t="s">
        <v>848</v>
      </c>
      <c r="C66" s="105" t="s">
        <v>344</v>
      </c>
      <c r="D66" s="105" t="s">
        <v>357</v>
      </c>
      <c r="E66" s="105" t="s">
        <v>727</v>
      </c>
      <c r="F66" s="67">
        <v>1</v>
      </c>
      <c r="G66" s="47">
        <v>0</v>
      </c>
      <c r="H66" s="47">
        <v>0</v>
      </c>
      <c r="I66" s="47">
        <v>323</v>
      </c>
      <c r="J66" s="47">
        <v>323</v>
      </c>
      <c r="K66" s="47">
        <v>0</v>
      </c>
      <c r="L66" s="47">
        <v>0</v>
      </c>
      <c r="M66" s="47">
        <v>0</v>
      </c>
      <c r="N66" s="47">
        <v>0</v>
      </c>
      <c r="P66" t="s">
        <v>447</v>
      </c>
      <c r="Q66" t="s">
        <v>446</v>
      </c>
    </row>
    <row r="67" spans="1:17" x14ac:dyDescent="0.15">
      <c r="A67" s="105" t="s">
        <v>808</v>
      </c>
      <c r="B67" s="105" t="s">
        <v>848</v>
      </c>
      <c r="C67" s="105" t="s">
        <v>806</v>
      </c>
      <c r="D67" s="105" t="s">
        <v>357</v>
      </c>
      <c r="E67" s="105" t="s">
        <v>727</v>
      </c>
      <c r="F67" s="67">
        <v>1</v>
      </c>
      <c r="G67" s="47">
        <v>0</v>
      </c>
      <c r="H67" s="47">
        <v>0</v>
      </c>
      <c r="I67" s="47">
        <v>317</v>
      </c>
      <c r="J67" s="47">
        <v>317</v>
      </c>
      <c r="K67" s="47">
        <v>0</v>
      </c>
      <c r="L67" s="47">
        <v>0</v>
      </c>
      <c r="M67" s="47">
        <v>0</v>
      </c>
      <c r="N67" s="47">
        <v>0</v>
      </c>
      <c r="P67" t="s">
        <v>733</v>
      </c>
      <c r="Q67" t="s">
        <v>450</v>
      </c>
    </row>
    <row r="68" spans="1:17" x14ac:dyDescent="0.15">
      <c r="A68" s="105" t="s">
        <v>805</v>
      </c>
      <c r="B68" s="105" t="s">
        <v>848</v>
      </c>
      <c r="C68" s="105" t="s">
        <v>807</v>
      </c>
      <c r="D68" s="105" t="s">
        <v>357</v>
      </c>
      <c r="E68" s="105" t="s">
        <v>727</v>
      </c>
      <c r="F68" s="67">
        <v>1</v>
      </c>
      <c r="G68" s="47">
        <v>0</v>
      </c>
      <c r="H68" s="47">
        <v>0</v>
      </c>
      <c r="I68" s="47">
        <v>139</v>
      </c>
      <c r="J68" s="47">
        <v>139</v>
      </c>
      <c r="K68" s="47">
        <v>0</v>
      </c>
      <c r="L68" s="47">
        <v>0</v>
      </c>
      <c r="M68" s="47">
        <v>0</v>
      </c>
      <c r="N68" s="47">
        <v>0</v>
      </c>
      <c r="P68" t="s">
        <v>734</v>
      </c>
      <c r="Q68" t="s">
        <v>514</v>
      </c>
    </row>
    <row r="69" spans="1:17" x14ac:dyDescent="0.15">
      <c r="A69" s="105" t="s">
        <v>345</v>
      </c>
      <c r="B69" s="105" t="s">
        <v>848</v>
      </c>
      <c r="C69" s="105" t="s">
        <v>346</v>
      </c>
      <c r="D69" s="105" t="s">
        <v>357</v>
      </c>
      <c r="E69" s="105" t="s">
        <v>727</v>
      </c>
      <c r="F69" s="67">
        <v>1</v>
      </c>
      <c r="G69" s="47">
        <v>0</v>
      </c>
      <c r="H69" s="47">
        <v>0</v>
      </c>
      <c r="I69" s="47">
        <v>298</v>
      </c>
      <c r="J69" s="47">
        <v>298</v>
      </c>
      <c r="K69" s="47">
        <v>0</v>
      </c>
      <c r="L69" s="47">
        <v>0</v>
      </c>
      <c r="M69" s="47">
        <v>0</v>
      </c>
      <c r="N69" s="47">
        <v>0</v>
      </c>
      <c r="P69" t="s">
        <v>452</v>
      </c>
      <c r="Q69" t="s">
        <v>451</v>
      </c>
    </row>
    <row r="70" spans="1:17" x14ac:dyDescent="0.15">
      <c r="A70" s="105" t="s">
        <v>347</v>
      </c>
      <c r="B70" s="105" t="s">
        <v>848</v>
      </c>
      <c r="C70" s="105" t="s">
        <v>348</v>
      </c>
      <c r="D70" s="105" t="s">
        <v>357</v>
      </c>
      <c r="E70" s="105" t="s">
        <v>727</v>
      </c>
      <c r="F70" s="67">
        <v>1</v>
      </c>
      <c r="G70" s="47">
        <v>0</v>
      </c>
      <c r="H70" s="47">
        <v>0</v>
      </c>
      <c r="I70" s="47">
        <v>408</v>
      </c>
      <c r="J70" s="47">
        <v>408</v>
      </c>
      <c r="K70" s="47">
        <v>0</v>
      </c>
      <c r="L70" s="47">
        <v>0</v>
      </c>
      <c r="M70" s="47">
        <v>0</v>
      </c>
      <c r="N70" s="47">
        <v>0</v>
      </c>
      <c r="P70" t="s">
        <v>735</v>
      </c>
      <c r="Q70" t="s">
        <v>524</v>
      </c>
    </row>
    <row r="71" spans="1:17" x14ac:dyDescent="0.15">
      <c r="A71" s="105" t="s">
        <v>378</v>
      </c>
      <c r="B71" s="105" t="s">
        <v>848</v>
      </c>
      <c r="C71" s="105" t="s">
        <v>379</v>
      </c>
      <c r="D71" s="105" t="s">
        <v>378</v>
      </c>
      <c r="E71" s="105" t="s">
        <v>379</v>
      </c>
      <c r="F71" s="67">
        <v>1</v>
      </c>
      <c r="G71" s="47">
        <v>9611</v>
      </c>
      <c r="H71" s="47">
        <v>654</v>
      </c>
      <c r="I71" s="47">
        <v>3988</v>
      </c>
      <c r="J71" s="47">
        <v>14253</v>
      </c>
      <c r="K71" s="47">
        <v>4263</v>
      </c>
      <c r="L71" s="47">
        <v>25</v>
      </c>
      <c r="M71" s="47">
        <v>80</v>
      </c>
      <c r="N71" s="47">
        <v>4368</v>
      </c>
      <c r="P71" t="s">
        <v>526</v>
      </c>
      <c r="Q71" t="s">
        <v>525</v>
      </c>
    </row>
    <row r="72" spans="1:17" ht="12.5" customHeight="1" x14ac:dyDescent="0.15">
      <c r="A72" s="105" t="s">
        <v>380</v>
      </c>
      <c r="B72" s="105" t="s">
        <v>848</v>
      </c>
      <c r="C72" s="105" t="s">
        <v>381</v>
      </c>
      <c r="D72" s="105" t="s">
        <v>384</v>
      </c>
      <c r="E72" s="105" t="s">
        <v>385</v>
      </c>
      <c r="F72" s="67">
        <v>1</v>
      </c>
      <c r="G72" s="47">
        <v>0</v>
      </c>
      <c r="H72" s="47">
        <v>0</v>
      </c>
      <c r="I72" s="47">
        <v>0</v>
      </c>
      <c r="J72" s="47">
        <v>0</v>
      </c>
      <c r="K72" s="47">
        <v>0</v>
      </c>
      <c r="L72" s="47">
        <v>0</v>
      </c>
      <c r="M72" s="47">
        <v>0</v>
      </c>
      <c r="N72" s="47">
        <v>0</v>
      </c>
      <c r="P72" t="s">
        <v>454</v>
      </c>
      <c r="Q72" t="s">
        <v>453</v>
      </c>
    </row>
    <row r="73" spans="1:17" x14ac:dyDescent="0.15">
      <c r="A73" s="105" t="s">
        <v>382</v>
      </c>
      <c r="B73" s="105" t="s">
        <v>848</v>
      </c>
      <c r="C73" s="105" t="s">
        <v>383</v>
      </c>
      <c r="D73" s="105" t="s">
        <v>384</v>
      </c>
      <c r="E73" s="105" t="s">
        <v>385</v>
      </c>
      <c r="F73" s="67">
        <v>1</v>
      </c>
      <c r="G73" s="47">
        <v>0</v>
      </c>
      <c r="H73" s="47">
        <v>0</v>
      </c>
      <c r="I73" s="47">
        <v>0</v>
      </c>
      <c r="J73" s="47">
        <v>0</v>
      </c>
      <c r="K73" s="47">
        <v>0</v>
      </c>
      <c r="L73" s="47">
        <v>0</v>
      </c>
      <c r="M73" s="47">
        <v>0</v>
      </c>
      <c r="N73" s="47">
        <v>0</v>
      </c>
      <c r="P73" t="s">
        <v>456</v>
      </c>
      <c r="Q73" t="s">
        <v>455</v>
      </c>
    </row>
    <row r="74" spans="1:17" x14ac:dyDescent="0.15">
      <c r="A74" s="105" t="s">
        <v>384</v>
      </c>
      <c r="B74" s="105" t="s">
        <v>848</v>
      </c>
      <c r="C74" s="105" t="s">
        <v>385</v>
      </c>
      <c r="D74" s="105" t="s">
        <v>384</v>
      </c>
      <c r="E74" s="105" t="s">
        <v>385</v>
      </c>
      <c r="F74" s="67">
        <v>1</v>
      </c>
      <c r="G74" s="47">
        <v>13656</v>
      </c>
      <c r="H74" s="47">
        <v>2016</v>
      </c>
      <c r="I74" s="47">
        <v>12127</v>
      </c>
      <c r="J74" s="47">
        <v>27799</v>
      </c>
      <c r="K74" s="47">
        <v>7570</v>
      </c>
      <c r="L74" s="47">
        <v>83</v>
      </c>
      <c r="M74" s="47">
        <v>1735</v>
      </c>
      <c r="N74" s="47">
        <v>9388</v>
      </c>
      <c r="P74" t="s">
        <v>460</v>
      </c>
      <c r="Q74" t="s">
        <v>459</v>
      </c>
    </row>
    <row r="75" spans="1:17" x14ac:dyDescent="0.15">
      <c r="A75" s="105" t="s">
        <v>349</v>
      </c>
      <c r="B75" s="105" t="s">
        <v>848</v>
      </c>
      <c r="C75" s="105" t="s">
        <v>350</v>
      </c>
      <c r="D75" s="105" t="s">
        <v>357</v>
      </c>
      <c r="E75" s="105" t="s">
        <v>727</v>
      </c>
      <c r="F75" s="67">
        <v>1</v>
      </c>
      <c r="G75" s="47">
        <v>0</v>
      </c>
      <c r="H75" s="47">
        <v>0</v>
      </c>
      <c r="I75" s="47">
        <v>3835</v>
      </c>
      <c r="J75" s="47">
        <v>3835</v>
      </c>
      <c r="K75" s="47">
        <v>0</v>
      </c>
      <c r="L75" s="47">
        <v>0</v>
      </c>
      <c r="M75" s="47">
        <v>1</v>
      </c>
      <c r="N75" s="47">
        <v>1</v>
      </c>
      <c r="P75" t="s">
        <v>528</v>
      </c>
      <c r="Q75" t="s">
        <v>527</v>
      </c>
    </row>
    <row r="76" spans="1:17" x14ac:dyDescent="0.15">
      <c r="A76" s="105" t="s">
        <v>351</v>
      </c>
      <c r="B76" s="105" t="s">
        <v>848</v>
      </c>
      <c r="C76" s="105" t="s">
        <v>352</v>
      </c>
      <c r="D76" s="105" t="s">
        <v>357</v>
      </c>
      <c r="E76" s="105" t="s">
        <v>727</v>
      </c>
      <c r="F76" s="67">
        <v>1</v>
      </c>
      <c r="G76" s="47">
        <v>0</v>
      </c>
      <c r="H76" s="47">
        <v>0</v>
      </c>
      <c r="I76" s="47">
        <v>0</v>
      </c>
      <c r="J76" s="47">
        <v>0</v>
      </c>
      <c r="K76" s="47">
        <v>0</v>
      </c>
      <c r="L76" s="47">
        <v>0</v>
      </c>
      <c r="M76" s="47">
        <v>0</v>
      </c>
      <c r="N76" s="47">
        <v>0</v>
      </c>
      <c r="P76" t="s">
        <v>772</v>
      </c>
      <c r="Q76" t="s">
        <v>519</v>
      </c>
    </row>
    <row r="77" spans="1:17" x14ac:dyDescent="0.15">
      <c r="A77" s="105" t="s">
        <v>353</v>
      </c>
      <c r="B77" s="105" t="s">
        <v>848</v>
      </c>
      <c r="C77" s="105" t="s">
        <v>354</v>
      </c>
      <c r="D77" s="105" t="s">
        <v>357</v>
      </c>
      <c r="E77" s="105" t="s">
        <v>727</v>
      </c>
      <c r="F77" s="67">
        <v>1</v>
      </c>
      <c r="G77" s="47">
        <v>0</v>
      </c>
      <c r="H77" s="47">
        <v>0</v>
      </c>
      <c r="I77" s="47">
        <v>623</v>
      </c>
      <c r="J77" s="47">
        <v>623</v>
      </c>
      <c r="K77" s="47">
        <v>0</v>
      </c>
      <c r="L77" s="47">
        <v>0</v>
      </c>
      <c r="M77" s="47">
        <v>0</v>
      </c>
      <c r="N77" s="47">
        <v>0</v>
      </c>
      <c r="P77" t="s">
        <v>736</v>
      </c>
      <c r="Q77" t="s">
        <v>416</v>
      </c>
    </row>
    <row r="78" spans="1:17" x14ac:dyDescent="0.15">
      <c r="A78" s="105" t="s">
        <v>404</v>
      </c>
      <c r="B78" s="105" t="s">
        <v>848</v>
      </c>
      <c r="C78" s="105" t="s">
        <v>725</v>
      </c>
      <c r="D78" s="105" t="s">
        <v>404</v>
      </c>
      <c r="E78" s="105" t="s">
        <v>725</v>
      </c>
      <c r="F78" s="67">
        <v>1</v>
      </c>
      <c r="G78" s="47">
        <v>12136</v>
      </c>
      <c r="H78" s="47">
        <v>1281</v>
      </c>
      <c r="I78" s="47">
        <v>8369</v>
      </c>
      <c r="J78" s="47">
        <v>21786</v>
      </c>
      <c r="K78" s="47">
        <v>5220</v>
      </c>
      <c r="L78" s="47">
        <v>257</v>
      </c>
      <c r="M78" s="47">
        <v>85</v>
      </c>
      <c r="N78" s="47">
        <v>5562</v>
      </c>
      <c r="P78" t="s">
        <v>486</v>
      </c>
      <c r="Q78" t="s">
        <v>485</v>
      </c>
    </row>
    <row r="79" spans="1:17" x14ac:dyDescent="0.15">
      <c r="A79" s="105" t="s">
        <v>386</v>
      </c>
      <c r="B79" s="105" t="s">
        <v>848</v>
      </c>
      <c r="C79" s="105" t="s">
        <v>387</v>
      </c>
      <c r="D79" s="105" t="s">
        <v>386</v>
      </c>
      <c r="E79" s="46" t="s">
        <v>387</v>
      </c>
      <c r="F79" s="67">
        <v>1</v>
      </c>
      <c r="G79" s="47">
        <v>11265</v>
      </c>
      <c r="H79" s="47">
        <v>0</v>
      </c>
      <c r="I79" s="47">
        <v>5917</v>
      </c>
      <c r="J79" s="47">
        <v>17182</v>
      </c>
      <c r="K79" s="47">
        <v>3533</v>
      </c>
      <c r="L79" s="47">
        <v>0</v>
      </c>
      <c r="M79" s="47">
        <v>870</v>
      </c>
      <c r="N79" s="47">
        <v>4403</v>
      </c>
      <c r="P79" t="s">
        <v>464</v>
      </c>
      <c r="Q79" t="s">
        <v>463</v>
      </c>
    </row>
    <row r="80" spans="1:17" x14ac:dyDescent="0.15">
      <c r="A80" s="105" t="s">
        <v>388</v>
      </c>
      <c r="B80" s="105" t="s">
        <v>848</v>
      </c>
      <c r="C80" s="105" t="s">
        <v>389</v>
      </c>
      <c r="D80" s="105" t="s">
        <v>388</v>
      </c>
      <c r="E80" s="105" t="s">
        <v>389</v>
      </c>
      <c r="F80" s="67">
        <v>1</v>
      </c>
      <c r="G80" s="47">
        <v>11747</v>
      </c>
      <c r="H80" s="47">
        <v>0</v>
      </c>
      <c r="I80" s="47">
        <v>2588</v>
      </c>
      <c r="J80" s="47">
        <v>14335</v>
      </c>
      <c r="K80" s="47">
        <v>6678</v>
      </c>
      <c r="L80" s="47">
        <v>0</v>
      </c>
      <c r="M80" s="47">
        <v>346</v>
      </c>
      <c r="N80" s="47">
        <v>7024</v>
      </c>
      <c r="P80" t="s">
        <v>737</v>
      </c>
      <c r="Q80" t="s">
        <v>417</v>
      </c>
    </row>
    <row r="81" spans="1:17" x14ac:dyDescent="0.15">
      <c r="A81" s="105" t="s">
        <v>390</v>
      </c>
      <c r="B81" s="105" t="s">
        <v>848</v>
      </c>
      <c r="C81" s="105" t="s">
        <v>391</v>
      </c>
      <c r="D81" s="105" t="s">
        <v>388</v>
      </c>
      <c r="E81" s="105" t="s">
        <v>389</v>
      </c>
      <c r="F81" s="67">
        <v>1</v>
      </c>
      <c r="G81" s="47">
        <v>0</v>
      </c>
      <c r="H81" s="47">
        <v>0</v>
      </c>
      <c r="I81" s="47">
        <v>3616</v>
      </c>
      <c r="J81" s="47">
        <v>3616</v>
      </c>
      <c r="K81" s="47">
        <v>0</v>
      </c>
      <c r="L81" s="47">
        <v>0</v>
      </c>
      <c r="M81" s="47">
        <v>15</v>
      </c>
      <c r="N81" s="47">
        <v>15</v>
      </c>
      <c r="P81" t="s">
        <v>419</v>
      </c>
      <c r="Q81" t="s">
        <v>418</v>
      </c>
    </row>
    <row r="82" spans="1:17" x14ac:dyDescent="0.15">
      <c r="A82" s="32" t="s">
        <v>360</v>
      </c>
      <c r="B82" s="32" t="s">
        <v>848</v>
      </c>
      <c r="C82" s="32" t="s">
        <v>361</v>
      </c>
      <c r="D82" s="32" t="s">
        <v>362</v>
      </c>
      <c r="E82" s="32" t="s">
        <v>363</v>
      </c>
      <c r="F82" s="67">
        <v>1</v>
      </c>
      <c r="G82" s="47">
        <v>0</v>
      </c>
      <c r="H82" s="47">
        <v>0</v>
      </c>
      <c r="I82" s="47">
        <v>462</v>
      </c>
      <c r="J82" s="47">
        <v>462</v>
      </c>
      <c r="K82" s="47">
        <v>0</v>
      </c>
      <c r="L82" s="47">
        <v>0</v>
      </c>
      <c r="M82" s="47">
        <v>0</v>
      </c>
      <c r="N82" s="47">
        <v>0</v>
      </c>
      <c r="P82" t="s">
        <v>488</v>
      </c>
      <c r="Q82" t="s">
        <v>487</v>
      </c>
    </row>
    <row r="83" spans="1:17" x14ac:dyDescent="0.15">
      <c r="A83" s="32" t="s">
        <v>313</v>
      </c>
      <c r="B83" s="32" t="s">
        <v>848</v>
      </c>
      <c r="C83" s="32" t="s">
        <v>314</v>
      </c>
      <c r="D83" s="32" t="s">
        <v>313</v>
      </c>
      <c r="E83" s="32" t="s">
        <v>314</v>
      </c>
      <c r="F83" s="67">
        <v>1</v>
      </c>
      <c r="G83" s="47">
        <v>8510</v>
      </c>
      <c r="H83" s="47">
        <v>0</v>
      </c>
      <c r="I83" s="47">
        <v>543</v>
      </c>
      <c r="J83" s="47">
        <v>9053</v>
      </c>
      <c r="K83" s="47">
        <v>2772</v>
      </c>
      <c r="L83" s="47">
        <v>0</v>
      </c>
      <c r="M83" s="47">
        <v>0</v>
      </c>
      <c r="N83" s="47">
        <v>2772</v>
      </c>
      <c r="P83" t="s">
        <v>490</v>
      </c>
      <c r="Q83" t="s">
        <v>489</v>
      </c>
    </row>
    <row r="84" spans="1:17" x14ac:dyDescent="0.15">
      <c r="A84" s="32" t="s">
        <v>405</v>
      </c>
      <c r="B84" s="32" t="s">
        <v>848</v>
      </c>
      <c r="C84" s="32" t="s">
        <v>406</v>
      </c>
      <c r="D84" s="32" t="s">
        <v>405</v>
      </c>
      <c r="E84" s="32" t="s">
        <v>406</v>
      </c>
      <c r="F84" s="67">
        <v>1</v>
      </c>
      <c r="G84" s="47">
        <v>10834</v>
      </c>
      <c r="H84" s="47">
        <v>0</v>
      </c>
      <c r="I84" s="47">
        <v>4331</v>
      </c>
      <c r="J84" s="47">
        <v>15165</v>
      </c>
      <c r="K84" s="47">
        <v>2896</v>
      </c>
      <c r="L84" s="47">
        <v>0</v>
      </c>
      <c r="M84" s="47">
        <v>92</v>
      </c>
      <c r="N84" s="47">
        <v>2988</v>
      </c>
      <c r="P84" t="s">
        <v>430</v>
      </c>
      <c r="Q84" t="s">
        <v>429</v>
      </c>
    </row>
    <row r="85" spans="1:17" x14ac:dyDescent="0.15">
      <c r="A85" s="32" t="s">
        <v>407</v>
      </c>
      <c r="B85" s="32" t="s">
        <v>848</v>
      </c>
      <c r="C85" s="32" t="s">
        <v>408</v>
      </c>
      <c r="D85" s="32" t="s">
        <v>407</v>
      </c>
      <c r="E85" s="32" t="s">
        <v>408</v>
      </c>
      <c r="F85" s="67">
        <v>1</v>
      </c>
      <c r="G85" s="47">
        <v>11706</v>
      </c>
      <c r="H85" s="47">
        <v>1633</v>
      </c>
      <c r="I85" s="47">
        <v>7582</v>
      </c>
      <c r="J85" s="47">
        <v>20921</v>
      </c>
      <c r="K85" s="47">
        <v>3944</v>
      </c>
      <c r="L85" s="47">
        <v>45</v>
      </c>
      <c r="M85" s="47">
        <v>198</v>
      </c>
      <c r="N85" s="47">
        <v>4187</v>
      </c>
      <c r="P85" t="s">
        <v>738</v>
      </c>
      <c r="Q85" t="s">
        <v>423</v>
      </c>
    </row>
    <row r="86" spans="1:17" x14ac:dyDescent="0.15">
      <c r="A86" s="32" t="s">
        <v>362</v>
      </c>
      <c r="B86" s="32" t="s">
        <v>848</v>
      </c>
      <c r="C86" s="32" t="s">
        <v>363</v>
      </c>
      <c r="D86" s="32" t="s">
        <v>362</v>
      </c>
      <c r="E86" s="32" t="s">
        <v>363</v>
      </c>
      <c r="F86" s="67">
        <v>1</v>
      </c>
      <c r="G86" s="47">
        <v>17584</v>
      </c>
      <c r="H86" s="47">
        <v>0</v>
      </c>
      <c r="I86" s="47">
        <v>4440</v>
      </c>
      <c r="J86" s="47">
        <v>22024</v>
      </c>
      <c r="K86" s="47">
        <v>6393</v>
      </c>
      <c r="L86" s="47">
        <v>0</v>
      </c>
      <c r="M86" s="47">
        <v>485</v>
      </c>
      <c r="N86" s="47">
        <v>6878</v>
      </c>
      <c r="P86" t="s">
        <v>470</v>
      </c>
      <c r="Q86" t="s">
        <v>469</v>
      </c>
    </row>
    <row r="87" spans="1:17" x14ac:dyDescent="0.15">
      <c r="A87" s="32" t="s">
        <v>300</v>
      </c>
      <c r="B87" s="32" t="s">
        <v>848</v>
      </c>
      <c r="C87" s="32" t="s">
        <v>301</v>
      </c>
      <c r="D87" s="32" t="s">
        <v>300</v>
      </c>
      <c r="E87" s="32" t="s">
        <v>301</v>
      </c>
      <c r="F87" s="67">
        <v>1</v>
      </c>
      <c r="G87" s="47">
        <v>34437</v>
      </c>
      <c r="H87" s="47">
        <v>407</v>
      </c>
      <c r="I87" s="47">
        <v>12659</v>
      </c>
      <c r="J87" s="47">
        <v>47503</v>
      </c>
      <c r="K87" s="47">
        <v>14689</v>
      </c>
      <c r="L87" s="47">
        <v>0</v>
      </c>
      <c r="M87" s="47">
        <v>59</v>
      </c>
      <c r="N87" s="47">
        <v>14748</v>
      </c>
      <c r="P87" t="s">
        <v>427</v>
      </c>
      <c r="Q87" t="s">
        <v>426</v>
      </c>
    </row>
    <row r="88" spans="1:17" x14ac:dyDescent="0.15">
      <c r="A88" s="32" t="s">
        <v>315</v>
      </c>
      <c r="B88" s="32" t="s">
        <v>848</v>
      </c>
      <c r="C88" s="32" t="s">
        <v>726</v>
      </c>
      <c r="D88" s="32" t="s">
        <v>315</v>
      </c>
      <c r="E88" s="32" t="s">
        <v>726</v>
      </c>
      <c r="F88" s="67">
        <v>1</v>
      </c>
      <c r="G88" s="47">
        <v>13154</v>
      </c>
      <c r="H88" s="47">
        <v>2778</v>
      </c>
      <c r="I88" s="47">
        <v>5874</v>
      </c>
      <c r="J88" s="47">
        <v>21806</v>
      </c>
      <c r="K88" s="47">
        <v>5167</v>
      </c>
      <c r="L88" s="47">
        <v>87</v>
      </c>
      <c r="M88" s="47">
        <v>123</v>
      </c>
      <c r="N88" s="47">
        <v>5377</v>
      </c>
      <c r="P88" t="s">
        <v>472</v>
      </c>
      <c r="Q88" t="s">
        <v>471</v>
      </c>
    </row>
    <row r="89" spans="1:17" x14ac:dyDescent="0.15">
      <c r="A89" s="32" t="s">
        <v>332</v>
      </c>
      <c r="B89" s="32" t="s">
        <v>848</v>
      </c>
      <c r="C89" s="32" t="s">
        <v>333</v>
      </c>
      <c r="D89" s="32" t="s">
        <v>332</v>
      </c>
      <c r="E89" s="32" t="s">
        <v>333</v>
      </c>
      <c r="F89" s="67">
        <v>1</v>
      </c>
      <c r="G89" s="47">
        <v>22823</v>
      </c>
      <c r="H89" s="47">
        <v>0</v>
      </c>
      <c r="I89" s="47">
        <v>9614</v>
      </c>
      <c r="J89" s="47">
        <v>32437</v>
      </c>
      <c r="K89" s="47">
        <v>10522</v>
      </c>
      <c r="L89" s="47">
        <v>0</v>
      </c>
      <c r="M89" s="47">
        <v>11</v>
      </c>
      <c r="N89" s="47">
        <v>10533</v>
      </c>
      <c r="P89" t="s">
        <v>476</v>
      </c>
      <c r="Q89" t="s">
        <v>475</v>
      </c>
    </row>
    <row r="90" spans="1:17" x14ac:dyDescent="0.15">
      <c r="A90" s="32" t="s">
        <v>357</v>
      </c>
      <c r="B90" s="32" t="s">
        <v>848</v>
      </c>
      <c r="C90" s="32" t="s">
        <v>727</v>
      </c>
      <c r="D90" s="32" t="s">
        <v>357</v>
      </c>
      <c r="E90" s="32" t="s">
        <v>727</v>
      </c>
      <c r="F90" s="67">
        <v>1</v>
      </c>
      <c r="G90" s="47">
        <v>24152</v>
      </c>
      <c r="H90" s="47">
        <v>2198</v>
      </c>
      <c r="I90" s="47">
        <v>0</v>
      </c>
      <c r="J90" s="47">
        <v>26350</v>
      </c>
      <c r="K90" s="47">
        <v>9805</v>
      </c>
      <c r="L90" s="47">
        <v>186</v>
      </c>
      <c r="M90" s="47">
        <v>0</v>
      </c>
      <c r="N90" s="47">
        <v>9991</v>
      </c>
      <c r="P90" t="s">
        <v>773</v>
      </c>
      <c r="Q90" t="s">
        <v>431</v>
      </c>
    </row>
    <row r="91" spans="1:17" x14ac:dyDescent="0.15">
      <c r="A91" s="32" t="s">
        <v>393</v>
      </c>
      <c r="B91" s="32" t="s">
        <v>848</v>
      </c>
      <c r="C91" s="32" t="s">
        <v>728</v>
      </c>
      <c r="D91" s="32" t="s">
        <v>393</v>
      </c>
      <c r="E91" s="32" t="s">
        <v>728</v>
      </c>
      <c r="F91" s="67">
        <v>1</v>
      </c>
      <c r="G91" s="47">
        <v>15769</v>
      </c>
      <c r="H91" s="47">
        <v>540</v>
      </c>
      <c r="I91" s="47">
        <v>9723</v>
      </c>
      <c r="J91" s="47">
        <v>26032</v>
      </c>
      <c r="K91" s="47">
        <v>8638</v>
      </c>
      <c r="L91" s="47">
        <v>0</v>
      </c>
      <c r="M91" s="47">
        <v>203</v>
      </c>
      <c r="N91" s="47">
        <v>8841</v>
      </c>
      <c r="P91" t="s">
        <v>774</v>
      </c>
      <c r="Q91" t="s">
        <v>433</v>
      </c>
    </row>
    <row r="92" spans="1:17" x14ac:dyDescent="0.15">
      <c r="A92" s="32" t="s">
        <v>409</v>
      </c>
      <c r="B92" s="32" t="s">
        <v>848</v>
      </c>
      <c r="C92" s="32" t="s">
        <v>410</v>
      </c>
      <c r="D92" s="32" t="s">
        <v>409</v>
      </c>
      <c r="E92" s="32" t="s">
        <v>410</v>
      </c>
      <c r="F92" s="67">
        <v>1</v>
      </c>
      <c r="G92" s="47">
        <v>10508</v>
      </c>
      <c r="H92" s="47">
        <v>0</v>
      </c>
      <c r="I92" s="47">
        <v>4324</v>
      </c>
      <c r="J92" s="47">
        <v>14832</v>
      </c>
      <c r="K92" s="47">
        <v>3489</v>
      </c>
      <c r="L92" s="47">
        <v>0</v>
      </c>
      <c r="M92" s="47">
        <v>175</v>
      </c>
      <c r="N92" s="47">
        <v>3664</v>
      </c>
      <c r="P92" t="s">
        <v>478</v>
      </c>
      <c r="Q92" t="s">
        <v>477</v>
      </c>
    </row>
    <row r="93" spans="1:17" x14ac:dyDescent="0.15">
      <c r="A93" s="32" t="s">
        <v>316</v>
      </c>
      <c r="B93" s="32" t="s">
        <v>848</v>
      </c>
      <c r="C93" s="32" t="s">
        <v>317</v>
      </c>
      <c r="D93" s="32" t="s">
        <v>316</v>
      </c>
      <c r="E93" s="32" t="s">
        <v>317</v>
      </c>
      <c r="F93" s="67">
        <v>1</v>
      </c>
      <c r="G93" s="47">
        <v>14684</v>
      </c>
      <c r="H93" s="47">
        <v>0</v>
      </c>
      <c r="I93" s="47">
        <v>6398</v>
      </c>
      <c r="J93" s="47">
        <v>21082</v>
      </c>
      <c r="K93" s="47">
        <v>6929</v>
      </c>
      <c r="L93" s="47">
        <v>0</v>
      </c>
      <c r="M93" s="47">
        <v>134</v>
      </c>
      <c r="N93" s="47">
        <v>7063</v>
      </c>
      <c r="P93" t="s">
        <v>741</v>
      </c>
      <c r="Q93" t="s">
        <v>479</v>
      </c>
    </row>
    <row r="94" spans="1:17" x14ac:dyDescent="0.15">
      <c r="A94" s="32" t="s">
        <v>318</v>
      </c>
      <c r="B94" s="32" t="s">
        <v>848</v>
      </c>
      <c r="C94" s="32" t="s">
        <v>319</v>
      </c>
      <c r="D94" s="32" t="s">
        <v>318</v>
      </c>
      <c r="E94" s="32" t="s">
        <v>319</v>
      </c>
      <c r="F94" s="67">
        <v>1</v>
      </c>
      <c r="G94" s="47">
        <v>6436</v>
      </c>
      <c r="H94" s="47">
        <v>976</v>
      </c>
      <c r="I94" s="47">
        <v>148</v>
      </c>
      <c r="J94" s="47">
        <v>7560</v>
      </c>
      <c r="K94" s="47">
        <v>2625</v>
      </c>
      <c r="L94" s="47">
        <v>0</v>
      </c>
      <c r="M94" s="47">
        <v>0</v>
      </c>
      <c r="N94" s="47">
        <v>2625</v>
      </c>
      <c r="P94" t="s">
        <v>742</v>
      </c>
      <c r="Q94" t="s">
        <v>495</v>
      </c>
    </row>
    <row r="95" spans="1:17" x14ac:dyDescent="0.15">
      <c r="A95" s="32" t="s">
        <v>529</v>
      </c>
      <c r="B95" s="32" t="s">
        <v>849</v>
      </c>
      <c r="C95" s="32" t="s">
        <v>530</v>
      </c>
      <c r="D95" s="32" t="s">
        <v>529</v>
      </c>
      <c r="E95" s="32" t="s">
        <v>530</v>
      </c>
      <c r="F95" s="67">
        <v>1</v>
      </c>
      <c r="G95" s="47">
        <v>6549</v>
      </c>
      <c r="H95" s="47">
        <v>278</v>
      </c>
      <c r="I95" s="47">
        <v>0</v>
      </c>
      <c r="J95" s="47">
        <v>6827</v>
      </c>
      <c r="K95" s="47">
        <v>2604</v>
      </c>
      <c r="L95" s="47">
        <v>0</v>
      </c>
      <c r="M95" s="47">
        <v>0</v>
      </c>
      <c r="N95" s="47">
        <v>2604</v>
      </c>
      <c r="P95" t="s">
        <v>845</v>
      </c>
      <c r="Q95" s="66" t="s">
        <v>437</v>
      </c>
    </row>
    <row r="96" spans="1:17" x14ac:dyDescent="0.15">
      <c r="A96" s="32" t="s">
        <v>521</v>
      </c>
      <c r="B96" s="32" t="s">
        <v>849</v>
      </c>
      <c r="C96" s="32" t="s">
        <v>522</v>
      </c>
      <c r="D96" s="32" t="s">
        <v>521</v>
      </c>
      <c r="E96" s="32" t="s">
        <v>522</v>
      </c>
      <c r="F96" s="67">
        <v>1</v>
      </c>
      <c r="G96" s="47">
        <v>10098</v>
      </c>
      <c r="H96" s="47">
        <v>0</v>
      </c>
      <c r="I96" s="47">
        <v>0</v>
      </c>
      <c r="J96" s="47">
        <v>10098</v>
      </c>
      <c r="K96" s="47">
        <v>2901</v>
      </c>
      <c r="L96" s="47">
        <v>0</v>
      </c>
      <c r="M96" s="47">
        <v>0</v>
      </c>
      <c r="N96" s="47">
        <v>2901</v>
      </c>
      <c r="P96" t="s">
        <v>441</v>
      </c>
      <c r="Q96" t="s">
        <v>440</v>
      </c>
    </row>
    <row r="97" spans="1:17" x14ac:dyDescent="0.15">
      <c r="A97" s="32" t="s">
        <v>531</v>
      </c>
      <c r="B97" s="32" t="s">
        <v>849</v>
      </c>
      <c r="C97" s="32" t="s">
        <v>532</v>
      </c>
      <c r="D97" s="32" t="s">
        <v>531</v>
      </c>
      <c r="E97" s="32" t="s">
        <v>532</v>
      </c>
      <c r="F97" s="67">
        <v>1</v>
      </c>
      <c r="G97" s="47">
        <v>9332</v>
      </c>
      <c r="H97" s="47">
        <v>861</v>
      </c>
      <c r="I97" s="47">
        <v>3753</v>
      </c>
      <c r="J97" s="47">
        <v>13946</v>
      </c>
      <c r="K97" s="47">
        <v>2483</v>
      </c>
      <c r="L97" s="47">
        <v>0</v>
      </c>
      <c r="M97" s="47">
        <v>8</v>
      </c>
      <c r="N97" s="47">
        <v>2491</v>
      </c>
      <c r="P97" t="s">
        <v>743</v>
      </c>
      <c r="Q97" t="s">
        <v>484</v>
      </c>
    </row>
    <row r="98" spans="1:17" x14ac:dyDescent="0.15">
      <c r="A98" s="32" t="s">
        <v>498</v>
      </c>
      <c r="B98" s="32" t="s">
        <v>849</v>
      </c>
      <c r="C98" s="32" t="s">
        <v>499</v>
      </c>
      <c r="D98" s="32" t="s">
        <v>510</v>
      </c>
      <c r="E98" s="32" t="s">
        <v>511</v>
      </c>
      <c r="F98" s="67">
        <v>1</v>
      </c>
      <c r="G98" s="47">
        <v>0</v>
      </c>
      <c r="H98" s="47">
        <v>0</v>
      </c>
      <c r="I98" s="47">
        <v>3624</v>
      </c>
      <c r="J98" s="47">
        <v>3624</v>
      </c>
      <c r="K98" s="47">
        <v>0</v>
      </c>
      <c r="L98" s="47">
        <v>0</v>
      </c>
      <c r="M98" s="47">
        <v>482</v>
      </c>
      <c r="N98" s="47">
        <v>482</v>
      </c>
      <c r="P98" t="s">
        <v>744</v>
      </c>
      <c r="Q98" t="s">
        <v>652</v>
      </c>
    </row>
    <row r="99" spans="1:17" x14ac:dyDescent="0.15">
      <c r="A99" s="32" t="s">
        <v>500</v>
      </c>
      <c r="B99" s="32" t="s">
        <v>849</v>
      </c>
      <c r="C99" s="32" t="s">
        <v>501</v>
      </c>
      <c r="D99" s="32" t="s">
        <v>519</v>
      </c>
      <c r="E99" s="32" t="s">
        <v>520</v>
      </c>
      <c r="F99" s="67">
        <v>1</v>
      </c>
      <c r="G99" s="47">
        <v>0</v>
      </c>
      <c r="H99" s="47">
        <v>0</v>
      </c>
      <c r="I99" s="47">
        <v>1478</v>
      </c>
      <c r="J99" s="47">
        <v>1478</v>
      </c>
      <c r="K99" s="47">
        <v>0</v>
      </c>
      <c r="L99" s="47">
        <v>0</v>
      </c>
      <c r="M99" s="47">
        <v>82</v>
      </c>
      <c r="N99" s="47">
        <v>82</v>
      </c>
      <c r="P99" t="s">
        <v>775</v>
      </c>
      <c r="Q99" t="s">
        <v>776</v>
      </c>
    </row>
    <row r="100" spans="1:17" x14ac:dyDescent="0.15">
      <c r="A100" s="32" t="s">
        <v>533</v>
      </c>
      <c r="B100" s="32" t="s">
        <v>849</v>
      </c>
      <c r="C100" s="32" t="s">
        <v>729</v>
      </c>
      <c r="D100" s="32" t="s">
        <v>533</v>
      </c>
      <c r="E100" s="32" t="s">
        <v>729</v>
      </c>
      <c r="F100" s="67">
        <v>1</v>
      </c>
      <c r="G100" s="47">
        <v>16465</v>
      </c>
      <c r="H100" s="47">
        <v>0</v>
      </c>
      <c r="I100" s="47">
        <v>0</v>
      </c>
      <c r="J100" s="47">
        <v>16465</v>
      </c>
      <c r="K100" s="47">
        <v>2417</v>
      </c>
      <c r="L100" s="47">
        <v>0</v>
      </c>
      <c r="M100" s="47">
        <v>0</v>
      </c>
      <c r="N100" s="47">
        <v>2417</v>
      </c>
      <c r="P100" t="s">
        <v>579</v>
      </c>
      <c r="Q100" t="s">
        <v>578</v>
      </c>
    </row>
    <row r="101" spans="1:17" x14ac:dyDescent="0.15">
      <c r="A101" s="32" t="s">
        <v>445</v>
      </c>
      <c r="B101" s="32" t="s">
        <v>849</v>
      </c>
      <c r="C101" s="32" t="s">
        <v>730</v>
      </c>
      <c r="D101" s="32" t="s">
        <v>445</v>
      </c>
      <c r="E101" s="32" t="s">
        <v>730</v>
      </c>
      <c r="F101" s="67">
        <v>1</v>
      </c>
      <c r="G101" s="47">
        <v>12901</v>
      </c>
      <c r="H101" s="47">
        <v>0</v>
      </c>
      <c r="I101" s="47">
        <v>10457</v>
      </c>
      <c r="J101" s="47">
        <v>23358</v>
      </c>
      <c r="K101" s="47">
        <v>5313</v>
      </c>
      <c r="L101" s="47">
        <v>0</v>
      </c>
      <c r="M101" s="47">
        <v>0</v>
      </c>
      <c r="N101" s="47">
        <v>5313</v>
      </c>
      <c r="P101" t="s">
        <v>745</v>
      </c>
      <c r="Q101" t="s">
        <v>639</v>
      </c>
    </row>
    <row r="102" spans="1:17" x14ac:dyDescent="0.15">
      <c r="A102" s="32" t="s">
        <v>523</v>
      </c>
      <c r="B102" s="32" t="s">
        <v>849</v>
      </c>
      <c r="C102" s="32" t="s">
        <v>731</v>
      </c>
      <c r="D102" s="32" t="s">
        <v>523</v>
      </c>
      <c r="E102" s="32" t="s">
        <v>731</v>
      </c>
      <c r="F102" s="67">
        <v>1</v>
      </c>
      <c r="G102" s="47">
        <v>14439</v>
      </c>
      <c r="H102" s="47">
        <v>0</v>
      </c>
      <c r="I102" s="47">
        <v>4120</v>
      </c>
      <c r="J102" s="47">
        <v>18559</v>
      </c>
      <c r="K102" s="47">
        <v>4947</v>
      </c>
      <c r="L102" s="47">
        <v>0</v>
      </c>
      <c r="M102" s="47">
        <v>9</v>
      </c>
      <c r="N102" s="47">
        <v>4956</v>
      </c>
      <c r="P102" t="s">
        <v>642</v>
      </c>
      <c r="Q102" t="s">
        <v>641</v>
      </c>
    </row>
    <row r="103" spans="1:17" x14ac:dyDescent="0.15">
      <c r="A103" s="32" t="s">
        <v>502</v>
      </c>
      <c r="B103" s="32" t="s">
        <v>849</v>
      </c>
      <c r="C103" s="32" t="s">
        <v>503</v>
      </c>
      <c r="D103" s="32" t="s">
        <v>510</v>
      </c>
      <c r="E103" s="32" t="s">
        <v>511</v>
      </c>
      <c r="F103" s="67">
        <v>1</v>
      </c>
      <c r="G103" s="47">
        <v>0</v>
      </c>
      <c r="H103" s="47">
        <v>0</v>
      </c>
      <c r="I103" s="47">
        <v>2956</v>
      </c>
      <c r="J103" s="47">
        <v>2956</v>
      </c>
      <c r="K103" s="47">
        <v>0</v>
      </c>
      <c r="L103" s="47">
        <v>0</v>
      </c>
      <c r="M103" s="47">
        <v>196</v>
      </c>
      <c r="N103" s="47">
        <v>196</v>
      </c>
      <c r="P103" t="s">
        <v>670</v>
      </c>
      <c r="Q103" t="s">
        <v>669</v>
      </c>
    </row>
    <row r="104" spans="1:17" x14ac:dyDescent="0.15">
      <c r="A104" s="32" t="s">
        <v>448</v>
      </c>
      <c r="B104" s="32" t="s">
        <v>849</v>
      </c>
      <c r="C104" s="32" t="s">
        <v>449</v>
      </c>
      <c r="D104" s="32" t="s">
        <v>448</v>
      </c>
      <c r="E104" s="32" t="s">
        <v>449</v>
      </c>
      <c r="F104" s="67">
        <v>1</v>
      </c>
      <c r="G104" s="47">
        <v>5605</v>
      </c>
      <c r="H104" s="47">
        <v>0</v>
      </c>
      <c r="I104" s="47">
        <v>4691</v>
      </c>
      <c r="J104" s="47">
        <v>10296</v>
      </c>
      <c r="K104" s="47">
        <v>2302</v>
      </c>
      <c r="L104" s="47">
        <v>0</v>
      </c>
      <c r="M104" s="47">
        <v>42</v>
      </c>
      <c r="N104" s="47">
        <v>2344</v>
      </c>
      <c r="P104" t="s">
        <v>618</v>
      </c>
      <c r="Q104" t="s">
        <v>617</v>
      </c>
    </row>
    <row r="105" spans="1:17" x14ac:dyDescent="0.15">
      <c r="A105" s="32" t="s">
        <v>506</v>
      </c>
      <c r="B105" s="32" t="s">
        <v>849</v>
      </c>
      <c r="C105" s="32" t="s">
        <v>507</v>
      </c>
      <c r="D105" s="32" t="s">
        <v>514</v>
      </c>
      <c r="E105" s="32" t="s">
        <v>734</v>
      </c>
      <c r="F105" s="67">
        <v>1</v>
      </c>
      <c r="G105" s="47">
        <v>0</v>
      </c>
      <c r="H105" s="47">
        <v>0</v>
      </c>
      <c r="I105" s="47">
        <v>1652</v>
      </c>
      <c r="J105" s="47">
        <v>1652</v>
      </c>
      <c r="K105" s="47">
        <v>0</v>
      </c>
      <c r="L105" s="47">
        <v>0</v>
      </c>
      <c r="M105" s="47">
        <v>42</v>
      </c>
      <c r="N105" s="47">
        <v>42</v>
      </c>
      <c r="P105" t="s">
        <v>626</v>
      </c>
      <c r="Q105" t="s">
        <v>625</v>
      </c>
    </row>
    <row r="106" spans="1:17" x14ac:dyDescent="0.15">
      <c r="A106" s="32" t="s">
        <v>534</v>
      </c>
      <c r="B106" s="32" t="s">
        <v>849</v>
      </c>
      <c r="C106" s="32" t="s">
        <v>732</v>
      </c>
      <c r="D106" s="32" t="s">
        <v>534</v>
      </c>
      <c r="E106" s="32" t="s">
        <v>732</v>
      </c>
      <c r="F106" s="67">
        <v>1</v>
      </c>
      <c r="G106" s="47">
        <v>5599</v>
      </c>
      <c r="H106" s="47">
        <v>0</v>
      </c>
      <c r="I106" s="47">
        <v>1520</v>
      </c>
      <c r="J106" s="47">
        <v>7119</v>
      </c>
      <c r="K106" s="47">
        <v>1973</v>
      </c>
      <c r="L106" s="47">
        <v>0</v>
      </c>
      <c r="M106" s="47">
        <v>12</v>
      </c>
      <c r="N106" s="47">
        <v>1985</v>
      </c>
      <c r="P106" t="s">
        <v>746</v>
      </c>
      <c r="Q106" t="s">
        <v>627</v>
      </c>
    </row>
    <row r="107" spans="1:17" x14ac:dyDescent="0.15">
      <c r="A107" s="32" t="s">
        <v>510</v>
      </c>
      <c r="B107" s="32" t="s">
        <v>849</v>
      </c>
      <c r="C107" s="32" t="s">
        <v>511</v>
      </c>
      <c r="D107" s="32" t="s">
        <v>510</v>
      </c>
      <c r="E107" s="32" t="s">
        <v>511</v>
      </c>
      <c r="F107" s="67">
        <v>1</v>
      </c>
      <c r="G107" s="47">
        <v>10218</v>
      </c>
      <c r="H107" s="47">
        <v>0</v>
      </c>
      <c r="I107" s="47">
        <v>4005</v>
      </c>
      <c r="J107" s="47">
        <v>14223</v>
      </c>
      <c r="K107" s="47">
        <v>5885</v>
      </c>
      <c r="L107" s="47">
        <v>0</v>
      </c>
      <c r="M107" s="47">
        <v>580</v>
      </c>
      <c r="N107" s="47">
        <v>6465</v>
      </c>
      <c r="P107" t="s">
        <v>747</v>
      </c>
      <c r="Q107" t="s">
        <v>645</v>
      </c>
    </row>
    <row r="108" spans="1:17" x14ac:dyDescent="0.15">
      <c r="A108" s="32" t="s">
        <v>512</v>
      </c>
      <c r="B108" s="32" t="s">
        <v>849</v>
      </c>
      <c r="C108" s="32" t="s">
        <v>513</v>
      </c>
      <c r="D108" s="32" t="s">
        <v>519</v>
      </c>
      <c r="E108" s="32" t="s">
        <v>520</v>
      </c>
      <c r="F108" s="67">
        <v>0.5</v>
      </c>
      <c r="G108" s="47">
        <v>0</v>
      </c>
      <c r="H108" s="47">
        <v>0</v>
      </c>
      <c r="I108" s="47">
        <v>566</v>
      </c>
      <c r="J108" s="47">
        <v>566</v>
      </c>
      <c r="K108" s="47">
        <v>0</v>
      </c>
      <c r="L108" s="47">
        <v>0</v>
      </c>
      <c r="M108" s="47">
        <v>5</v>
      </c>
      <c r="N108" s="47">
        <v>5</v>
      </c>
      <c r="P108" t="s">
        <v>583</v>
      </c>
      <c r="Q108" t="s">
        <v>582</v>
      </c>
    </row>
    <row r="109" spans="1:17" x14ac:dyDescent="0.15">
      <c r="A109" s="32" t="s">
        <v>512</v>
      </c>
      <c r="B109" s="32" t="s">
        <v>849</v>
      </c>
      <c r="C109" s="32" t="s">
        <v>513</v>
      </c>
      <c r="D109" s="32" t="s">
        <v>453</v>
      </c>
      <c r="E109" s="32" t="s">
        <v>454</v>
      </c>
      <c r="F109" s="67">
        <v>0.5</v>
      </c>
      <c r="G109" s="47">
        <v>0</v>
      </c>
      <c r="H109" s="47">
        <v>0</v>
      </c>
      <c r="I109" s="47">
        <v>566</v>
      </c>
      <c r="J109" s="47">
        <v>566</v>
      </c>
      <c r="K109" s="47">
        <v>0</v>
      </c>
      <c r="L109" s="47">
        <v>0</v>
      </c>
      <c r="M109" s="47">
        <v>5</v>
      </c>
      <c r="N109" s="47">
        <v>5</v>
      </c>
      <c r="P109" t="s">
        <v>777</v>
      </c>
      <c r="Q109" t="s">
        <v>628</v>
      </c>
    </row>
    <row r="110" spans="1:17" x14ac:dyDescent="0.15">
      <c r="A110" s="32" t="s">
        <v>535</v>
      </c>
      <c r="B110" s="32" t="s">
        <v>849</v>
      </c>
      <c r="C110" s="32" t="s">
        <v>536</v>
      </c>
      <c r="D110" s="32" t="s">
        <v>537</v>
      </c>
      <c r="E110" s="32" t="s">
        <v>538</v>
      </c>
      <c r="F110" s="67">
        <v>1</v>
      </c>
      <c r="G110" s="47">
        <v>0</v>
      </c>
      <c r="H110" s="47">
        <v>0</v>
      </c>
      <c r="I110" s="47">
        <v>0</v>
      </c>
      <c r="J110" s="47">
        <v>0</v>
      </c>
      <c r="K110" s="47">
        <v>0</v>
      </c>
      <c r="L110" s="47">
        <v>0</v>
      </c>
      <c r="M110" s="47">
        <v>0</v>
      </c>
      <c r="N110" s="47">
        <v>0</v>
      </c>
      <c r="P110" t="s">
        <v>585</v>
      </c>
      <c r="Q110" t="s">
        <v>584</v>
      </c>
    </row>
    <row r="111" spans="1:17" x14ac:dyDescent="0.15">
      <c r="A111" s="32" t="s">
        <v>537</v>
      </c>
      <c r="B111" s="32" t="s">
        <v>849</v>
      </c>
      <c r="C111" s="32" t="s">
        <v>538</v>
      </c>
      <c r="D111" s="32" t="s">
        <v>537</v>
      </c>
      <c r="E111" s="32" t="s">
        <v>538</v>
      </c>
      <c r="F111" s="67">
        <v>1</v>
      </c>
      <c r="G111" s="47">
        <v>19869</v>
      </c>
      <c r="H111" s="47">
        <v>729</v>
      </c>
      <c r="I111" s="47">
        <v>10824</v>
      </c>
      <c r="J111" s="47">
        <v>31422</v>
      </c>
      <c r="K111" s="47">
        <v>7593</v>
      </c>
      <c r="L111" s="47">
        <v>0</v>
      </c>
      <c r="M111" s="47">
        <v>45</v>
      </c>
      <c r="N111" s="47">
        <v>7638</v>
      </c>
      <c r="P111" t="s">
        <v>660</v>
      </c>
      <c r="Q111" t="s">
        <v>659</v>
      </c>
    </row>
    <row r="112" spans="1:17" x14ac:dyDescent="0.15">
      <c r="A112" s="32" t="s">
        <v>539</v>
      </c>
      <c r="B112" s="32" t="s">
        <v>849</v>
      </c>
      <c r="C112" s="32" t="s">
        <v>540</v>
      </c>
      <c r="D112" s="32" t="s">
        <v>533</v>
      </c>
      <c r="E112" s="32" t="s">
        <v>729</v>
      </c>
      <c r="F112" s="67">
        <v>1</v>
      </c>
      <c r="G112" s="47">
        <v>0</v>
      </c>
      <c r="H112" s="47">
        <v>0</v>
      </c>
      <c r="I112" s="47">
        <v>2517</v>
      </c>
      <c r="J112" s="47">
        <v>2517</v>
      </c>
      <c r="K112" s="47">
        <v>0</v>
      </c>
      <c r="L112" s="47">
        <v>0</v>
      </c>
      <c r="M112" s="47">
        <v>9</v>
      </c>
      <c r="N112" s="47">
        <v>9</v>
      </c>
      <c r="P112" t="s">
        <v>748</v>
      </c>
      <c r="Q112" t="s">
        <v>667</v>
      </c>
    </row>
    <row r="113" spans="1:17" x14ac:dyDescent="0.15">
      <c r="A113" s="32" t="s">
        <v>541</v>
      </c>
      <c r="B113" s="32" t="s">
        <v>849</v>
      </c>
      <c r="C113" s="32" t="s">
        <v>542</v>
      </c>
      <c r="D113" s="32" t="s">
        <v>541</v>
      </c>
      <c r="E113" s="32" t="s">
        <v>542</v>
      </c>
      <c r="F113" s="67">
        <v>1</v>
      </c>
      <c r="G113" s="47">
        <v>17233</v>
      </c>
      <c r="H113" s="47">
        <v>139</v>
      </c>
      <c r="I113" s="47">
        <v>6757</v>
      </c>
      <c r="J113" s="47">
        <v>24129</v>
      </c>
      <c r="K113" s="47">
        <v>7040</v>
      </c>
      <c r="L113" s="47">
        <v>0</v>
      </c>
      <c r="M113" s="47">
        <v>178</v>
      </c>
      <c r="N113" s="47">
        <v>7218</v>
      </c>
      <c r="P113" t="s">
        <v>638</v>
      </c>
      <c r="Q113" t="s">
        <v>637</v>
      </c>
    </row>
    <row r="114" spans="1:17" x14ac:dyDescent="0.15">
      <c r="A114" s="32" t="s">
        <v>446</v>
      </c>
      <c r="B114" s="32" t="s">
        <v>849</v>
      </c>
      <c r="C114" s="32" t="s">
        <v>447</v>
      </c>
      <c r="D114" s="32" t="s">
        <v>446</v>
      </c>
      <c r="E114" s="32" t="s">
        <v>447</v>
      </c>
      <c r="F114" s="67">
        <v>1</v>
      </c>
      <c r="G114" s="47">
        <v>9184</v>
      </c>
      <c r="H114" s="47">
        <v>0</v>
      </c>
      <c r="I114" s="47">
        <v>3015</v>
      </c>
      <c r="J114" s="47">
        <v>12199</v>
      </c>
      <c r="K114" s="47">
        <v>4437</v>
      </c>
      <c r="L114" s="47">
        <v>0</v>
      </c>
      <c r="M114" s="47">
        <v>149</v>
      </c>
      <c r="N114" s="47">
        <v>4586</v>
      </c>
      <c r="P114" t="s">
        <v>679</v>
      </c>
      <c r="Q114" t="s">
        <v>678</v>
      </c>
    </row>
    <row r="115" spans="1:17" x14ac:dyDescent="0.15">
      <c r="A115" s="32" t="s">
        <v>450</v>
      </c>
      <c r="B115" s="32" t="s">
        <v>849</v>
      </c>
      <c r="C115" s="32" t="s">
        <v>733</v>
      </c>
      <c r="D115" s="32" t="s">
        <v>450</v>
      </c>
      <c r="E115" s="32" t="s">
        <v>733</v>
      </c>
      <c r="F115" s="67">
        <v>1</v>
      </c>
      <c r="G115" s="47">
        <v>5103</v>
      </c>
      <c r="H115" s="47">
        <v>0</v>
      </c>
      <c r="I115" s="47">
        <v>11239</v>
      </c>
      <c r="J115" s="47">
        <v>16342</v>
      </c>
      <c r="K115" s="47">
        <v>3055</v>
      </c>
      <c r="L115" s="47">
        <v>0</v>
      </c>
      <c r="M115" s="47">
        <v>48</v>
      </c>
      <c r="N115" s="47">
        <v>3103</v>
      </c>
      <c r="P115" t="s">
        <v>604</v>
      </c>
      <c r="Q115" t="s">
        <v>603</v>
      </c>
    </row>
    <row r="116" spans="1:17" x14ac:dyDescent="0.15">
      <c r="A116" s="32" t="s">
        <v>514</v>
      </c>
      <c r="B116" s="32" t="s">
        <v>849</v>
      </c>
      <c r="C116" s="32" t="s">
        <v>734</v>
      </c>
      <c r="D116" s="32" t="s">
        <v>514</v>
      </c>
      <c r="E116" s="32" t="s">
        <v>734</v>
      </c>
      <c r="F116" s="67">
        <v>1</v>
      </c>
      <c r="G116" s="47">
        <v>10716</v>
      </c>
      <c r="H116" s="47">
        <v>0</v>
      </c>
      <c r="I116" s="47">
        <v>6714</v>
      </c>
      <c r="J116" s="47">
        <v>17430</v>
      </c>
      <c r="K116" s="47">
        <v>5273</v>
      </c>
      <c r="L116" s="47">
        <v>0</v>
      </c>
      <c r="M116" s="47">
        <v>80</v>
      </c>
      <c r="N116" s="47">
        <v>5353</v>
      </c>
      <c r="P116" t="s">
        <v>622</v>
      </c>
      <c r="Q116" t="s">
        <v>621</v>
      </c>
    </row>
    <row r="117" spans="1:17" x14ac:dyDescent="0.15">
      <c r="A117" s="32" t="s">
        <v>451</v>
      </c>
      <c r="B117" s="32" t="s">
        <v>849</v>
      </c>
      <c r="C117" s="32" t="s">
        <v>452</v>
      </c>
      <c r="D117" s="32" t="s">
        <v>451</v>
      </c>
      <c r="E117" s="32" t="s">
        <v>452</v>
      </c>
      <c r="F117" s="67">
        <v>1</v>
      </c>
      <c r="G117" s="47">
        <v>10939</v>
      </c>
      <c r="H117" s="47">
        <v>0</v>
      </c>
      <c r="I117" s="47">
        <v>14435</v>
      </c>
      <c r="J117" s="47">
        <v>25374</v>
      </c>
      <c r="K117" s="47">
        <v>2344</v>
      </c>
      <c r="L117" s="47">
        <v>0</v>
      </c>
      <c r="M117" s="47">
        <v>0</v>
      </c>
      <c r="N117" s="47">
        <v>2344</v>
      </c>
      <c r="P117" t="s">
        <v>553</v>
      </c>
      <c r="Q117" t="s">
        <v>552</v>
      </c>
    </row>
    <row r="118" spans="1:17" x14ac:dyDescent="0.15">
      <c r="A118" s="32" t="s">
        <v>524</v>
      </c>
      <c r="B118" s="32" t="s">
        <v>849</v>
      </c>
      <c r="C118" s="32" t="s">
        <v>735</v>
      </c>
      <c r="D118" s="32" t="s">
        <v>524</v>
      </c>
      <c r="E118" s="32" t="s">
        <v>735</v>
      </c>
      <c r="F118" s="67">
        <v>1</v>
      </c>
      <c r="G118" s="47">
        <v>4643</v>
      </c>
      <c r="H118" s="47">
        <v>0</v>
      </c>
      <c r="I118" s="47">
        <v>364</v>
      </c>
      <c r="J118" s="47">
        <v>5007</v>
      </c>
      <c r="K118" s="47">
        <v>483</v>
      </c>
      <c r="L118" s="47">
        <v>0</v>
      </c>
      <c r="M118" s="47">
        <v>3</v>
      </c>
      <c r="N118" s="47">
        <v>486</v>
      </c>
      <c r="P118" t="s">
        <v>595</v>
      </c>
      <c r="Q118" t="s">
        <v>594</v>
      </c>
    </row>
    <row r="119" spans="1:17" x14ac:dyDescent="0.15">
      <c r="A119" s="32" t="s">
        <v>525</v>
      </c>
      <c r="B119" s="32" t="s">
        <v>849</v>
      </c>
      <c r="C119" s="32" t="s">
        <v>526</v>
      </c>
      <c r="D119" s="32" t="s">
        <v>525</v>
      </c>
      <c r="E119" s="32" t="s">
        <v>526</v>
      </c>
      <c r="F119" s="67">
        <v>1</v>
      </c>
      <c r="G119" s="47">
        <v>9334</v>
      </c>
      <c r="H119" s="47">
        <v>1395</v>
      </c>
      <c r="I119" s="47">
        <v>8121</v>
      </c>
      <c r="J119" s="47">
        <v>18850</v>
      </c>
      <c r="K119" s="47">
        <v>4871</v>
      </c>
      <c r="L119" s="47">
        <v>66</v>
      </c>
      <c r="M119" s="47">
        <v>364</v>
      </c>
      <c r="N119" s="47">
        <v>5301</v>
      </c>
      <c r="P119" t="s">
        <v>778</v>
      </c>
      <c r="Q119" t="s">
        <v>598</v>
      </c>
    </row>
    <row r="120" spans="1:17" x14ac:dyDescent="0.15">
      <c r="A120" s="32" t="s">
        <v>453</v>
      </c>
      <c r="B120" s="32" t="s">
        <v>849</v>
      </c>
      <c r="C120" s="32" t="s">
        <v>454</v>
      </c>
      <c r="D120" s="32" t="s">
        <v>453</v>
      </c>
      <c r="E120" s="32" t="s">
        <v>454</v>
      </c>
      <c r="F120" s="67">
        <v>1</v>
      </c>
      <c r="G120" s="47">
        <v>7575</v>
      </c>
      <c r="H120" s="47">
        <v>0</v>
      </c>
      <c r="I120" s="47">
        <v>11372</v>
      </c>
      <c r="J120" s="47">
        <v>18947</v>
      </c>
      <c r="K120" s="47">
        <v>3952</v>
      </c>
      <c r="L120" s="47">
        <v>0</v>
      </c>
      <c r="M120" s="47">
        <v>361</v>
      </c>
      <c r="N120" s="47">
        <v>4313</v>
      </c>
      <c r="P120" t="s">
        <v>589</v>
      </c>
      <c r="Q120" t="s">
        <v>588</v>
      </c>
    </row>
    <row r="121" spans="1:17" x14ac:dyDescent="0.15">
      <c r="A121" s="32" t="s">
        <v>455</v>
      </c>
      <c r="B121" s="32" t="s">
        <v>849</v>
      </c>
      <c r="C121" s="32" t="s">
        <v>456</v>
      </c>
      <c r="D121" s="32" t="s">
        <v>455</v>
      </c>
      <c r="E121" s="32" t="s">
        <v>456</v>
      </c>
      <c r="F121" s="67">
        <v>1</v>
      </c>
      <c r="G121" s="47">
        <v>12593</v>
      </c>
      <c r="H121" s="47">
        <v>1465</v>
      </c>
      <c r="I121" s="47">
        <v>7491</v>
      </c>
      <c r="J121" s="47">
        <v>21549</v>
      </c>
      <c r="K121" s="47">
        <v>5118</v>
      </c>
      <c r="L121" s="47">
        <v>41</v>
      </c>
      <c r="M121" s="47">
        <v>290</v>
      </c>
      <c r="N121" s="47">
        <v>5449</v>
      </c>
      <c r="P121" t="s">
        <v>779</v>
      </c>
      <c r="Q121" t="s">
        <v>600</v>
      </c>
    </row>
    <row r="122" spans="1:17" x14ac:dyDescent="0.15">
      <c r="A122" s="32" t="s">
        <v>459</v>
      </c>
      <c r="B122" s="32" t="s">
        <v>849</v>
      </c>
      <c r="C122" s="32" t="s">
        <v>460</v>
      </c>
      <c r="D122" s="32" t="s">
        <v>459</v>
      </c>
      <c r="E122" s="32" t="s">
        <v>460</v>
      </c>
      <c r="F122" s="67">
        <v>1</v>
      </c>
      <c r="G122" s="47">
        <v>12694</v>
      </c>
      <c r="H122" s="47">
        <v>1862</v>
      </c>
      <c r="I122" s="47">
        <v>10291</v>
      </c>
      <c r="J122" s="47">
        <v>24847</v>
      </c>
      <c r="K122" s="47">
        <v>5569</v>
      </c>
      <c r="L122" s="47">
        <v>103</v>
      </c>
      <c r="M122" s="47">
        <v>239</v>
      </c>
      <c r="N122" s="47">
        <v>5911</v>
      </c>
      <c r="P122" t="s">
        <v>558</v>
      </c>
      <c r="Q122" t="s">
        <v>557</v>
      </c>
    </row>
    <row r="123" spans="1:17" x14ac:dyDescent="0.15">
      <c r="A123" s="32" t="s">
        <v>527</v>
      </c>
      <c r="B123" s="32" t="s">
        <v>849</v>
      </c>
      <c r="C123" s="32" t="s">
        <v>528</v>
      </c>
      <c r="D123" s="32" t="s">
        <v>527</v>
      </c>
      <c r="E123" s="32" t="s">
        <v>528</v>
      </c>
      <c r="F123" s="67">
        <v>1</v>
      </c>
      <c r="G123" s="47">
        <v>10045</v>
      </c>
      <c r="H123" s="47">
        <v>0</v>
      </c>
      <c r="I123" s="47">
        <v>0</v>
      </c>
      <c r="J123" s="47">
        <v>10045</v>
      </c>
      <c r="K123" s="47">
        <v>3096</v>
      </c>
      <c r="L123" s="47">
        <v>0</v>
      </c>
      <c r="M123" s="47">
        <v>0</v>
      </c>
      <c r="N123" s="47">
        <v>3096</v>
      </c>
      <c r="P123" t="s">
        <v>560</v>
      </c>
      <c r="Q123" t="s">
        <v>559</v>
      </c>
    </row>
    <row r="124" spans="1:17" x14ac:dyDescent="0.15">
      <c r="A124" s="32" t="s">
        <v>515</v>
      </c>
      <c r="B124" s="32" t="s">
        <v>849</v>
      </c>
      <c r="C124" s="32" t="s">
        <v>516</v>
      </c>
      <c r="D124" s="32" t="s">
        <v>510</v>
      </c>
      <c r="E124" s="32" t="s">
        <v>511</v>
      </c>
      <c r="F124" s="67">
        <v>1</v>
      </c>
      <c r="G124" s="47">
        <v>0</v>
      </c>
      <c r="H124" s="47">
        <v>0</v>
      </c>
      <c r="I124" s="47">
        <v>0</v>
      </c>
      <c r="J124" s="47">
        <v>0</v>
      </c>
      <c r="K124" s="47">
        <v>0</v>
      </c>
      <c r="L124" s="47">
        <v>0</v>
      </c>
      <c r="M124" s="47">
        <v>0</v>
      </c>
      <c r="N124" s="47">
        <v>0</v>
      </c>
      <c r="P124" t="s">
        <v>649</v>
      </c>
      <c r="Q124" t="s">
        <v>648</v>
      </c>
    </row>
    <row r="125" spans="1:17" x14ac:dyDescent="0.15">
      <c r="A125" s="32" t="s">
        <v>461</v>
      </c>
      <c r="B125" s="32" t="s">
        <v>849</v>
      </c>
      <c r="C125" s="32" t="s">
        <v>462</v>
      </c>
      <c r="D125" s="32" t="s">
        <v>446</v>
      </c>
      <c r="E125" s="32" t="s">
        <v>447</v>
      </c>
      <c r="F125" s="67">
        <v>1</v>
      </c>
      <c r="G125" s="47">
        <v>0</v>
      </c>
      <c r="H125" s="47">
        <v>0</v>
      </c>
      <c r="I125" s="47">
        <v>492</v>
      </c>
      <c r="J125" s="47">
        <v>492</v>
      </c>
      <c r="K125" s="47">
        <v>0</v>
      </c>
      <c r="L125" s="47">
        <v>0</v>
      </c>
      <c r="M125" s="47">
        <v>0</v>
      </c>
      <c r="N125" s="47">
        <v>0</v>
      </c>
      <c r="P125" t="s">
        <v>750</v>
      </c>
      <c r="Q125" t="s">
        <v>602</v>
      </c>
    </row>
    <row r="126" spans="1:17" x14ac:dyDescent="0.15">
      <c r="A126" s="32" t="s">
        <v>519</v>
      </c>
      <c r="B126" s="32" t="s">
        <v>849</v>
      </c>
      <c r="C126" s="32" t="s">
        <v>520</v>
      </c>
      <c r="D126" s="32" t="s">
        <v>519</v>
      </c>
      <c r="E126" s="32" t="s">
        <v>520</v>
      </c>
      <c r="F126" s="67">
        <v>1</v>
      </c>
      <c r="G126" s="47">
        <v>12536</v>
      </c>
      <c r="H126" s="47">
        <v>34</v>
      </c>
      <c r="I126" s="47">
        <v>5759</v>
      </c>
      <c r="J126" s="47">
        <v>18329</v>
      </c>
      <c r="K126" s="47">
        <v>6487</v>
      </c>
      <c r="L126" s="47">
        <v>0</v>
      </c>
      <c r="M126" s="47">
        <v>514</v>
      </c>
      <c r="N126" s="47">
        <v>7001</v>
      </c>
      <c r="P126" t="s">
        <v>570</v>
      </c>
      <c r="Q126" t="s">
        <v>569</v>
      </c>
    </row>
    <row r="127" spans="1:17" x14ac:dyDescent="0.15">
      <c r="A127" s="32" t="s">
        <v>416</v>
      </c>
      <c r="B127" s="32" t="s">
        <v>850</v>
      </c>
      <c r="C127" s="32" t="s">
        <v>736</v>
      </c>
      <c r="D127" s="32" t="s">
        <v>416</v>
      </c>
      <c r="E127" s="32" t="s">
        <v>736</v>
      </c>
      <c r="F127" s="67">
        <v>1</v>
      </c>
      <c r="G127" s="47">
        <v>6240</v>
      </c>
      <c r="H127" s="47">
        <v>0</v>
      </c>
      <c r="I127" s="47">
        <v>0</v>
      </c>
      <c r="J127" s="47">
        <v>6240</v>
      </c>
      <c r="K127" s="47">
        <v>881</v>
      </c>
      <c r="L127" s="47">
        <v>0</v>
      </c>
      <c r="M127" s="47">
        <v>0</v>
      </c>
      <c r="N127" s="47">
        <v>881</v>
      </c>
      <c r="P127" t="s">
        <v>610</v>
      </c>
      <c r="Q127" s="66" t="s">
        <v>609</v>
      </c>
    </row>
    <row r="128" spans="1:17" x14ac:dyDescent="0.15">
      <c r="A128" s="32" t="s">
        <v>485</v>
      </c>
      <c r="B128" s="32" t="s">
        <v>850</v>
      </c>
      <c r="C128" s="32" t="s">
        <v>486</v>
      </c>
      <c r="D128" s="32" t="s">
        <v>485</v>
      </c>
      <c r="E128" s="32" t="s">
        <v>486</v>
      </c>
      <c r="F128" s="67">
        <v>1</v>
      </c>
      <c r="G128" s="47">
        <v>9133</v>
      </c>
      <c r="H128" s="47">
        <v>0</v>
      </c>
      <c r="I128" s="47">
        <v>10139</v>
      </c>
      <c r="J128" s="47">
        <v>19272</v>
      </c>
      <c r="K128" s="47">
        <v>4514</v>
      </c>
      <c r="L128" s="47">
        <v>0</v>
      </c>
      <c r="M128" s="47">
        <v>116</v>
      </c>
      <c r="N128" s="47">
        <v>4630</v>
      </c>
      <c r="P128" t="s">
        <v>651</v>
      </c>
      <c r="Q128" t="s">
        <v>650</v>
      </c>
    </row>
    <row r="129" spans="1:17" x14ac:dyDescent="0.15">
      <c r="A129" s="32" t="s">
        <v>463</v>
      </c>
      <c r="B129" s="32" t="s">
        <v>850</v>
      </c>
      <c r="C129" s="32" t="s">
        <v>464</v>
      </c>
      <c r="D129" s="32" t="s">
        <v>463</v>
      </c>
      <c r="E129" s="32" t="s">
        <v>464</v>
      </c>
      <c r="F129" s="67">
        <v>1</v>
      </c>
      <c r="G129" s="47">
        <v>8873</v>
      </c>
      <c r="H129" s="47">
        <v>0</v>
      </c>
      <c r="I129" s="47">
        <v>3726</v>
      </c>
      <c r="J129" s="47">
        <v>12599</v>
      </c>
      <c r="K129" s="47">
        <v>4319</v>
      </c>
      <c r="L129" s="47">
        <v>0</v>
      </c>
      <c r="M129" s="47">
        <v>300</v>
      </c>
      <c r="N129" s="47">
        <v>4619</v>
      </c>
      <c r="Q129" s="66"/>
    </row>
    <row r="130" spans="1:17" x14ac:dyDescent="0.15">
      <c r="A130" s="32" t="s">
        <v>417</v>
      </c>
      <c r="B130" s="32" t="s">
        <v>850</v>
      </c>
      <c r="C130" s="32" t="s">
        <v>737</v>
      </c>
      <c r="D130" s="32" t="s">
        <v>417</v>
      </c>
      <c r="E130" s="32" t="s">
        <v>737</v>
      </c>
      <c r="F130" s="67">
        <v>1</v>
      </c>
      <c r="G130" s="47">
        <v>5968</v>
      </c>
      <c r="H130" s="47">
        <v>0</v>
      </c>
      <c r="I130" s="47">
        <v>2708</v>
      </c>
      <c r="J130" s="47">
        <v>8676</v>
      </c>
      <c r="K130" s="47">
        <v>2964</v>
      </c>
      <c r="L130" s="47">
        <v>0</v>
      </c>
      <c r="M130" s="47">
        <v>346</v>
      </c>
      <c r="N130" s="47">
        <v>3310</v>
      </c>
    </row>
    <row r="131" spans="1:17" x14ac:dyDescent="0.15">
      <c r="A131" s="32" t="s">
        <v>418</v>
      </c>
      <c r="B131" s="32" t="s">
        <v>850</v>
      </c>
      <c r="C131" s="32" t="s">
        <v>419</v>
      </c>
      <c r="D131" s="32" t="s">
        <v>418</v>
      </c>
      <c r="E131" s="32" t="s">
        <v>419</v>
      </c>
      <c r="F131" s="67">
        <v>1</v>
      </c>
      <c r="G131" s="47">
        <v>4753</v>
      </c>
      <c r="H131" s="47">
        <v>0</v>
      </c>
      <c r="I131" s="47">
        <v>58</v>
      </c>
      <c r="J131" s="47">
        <v>4811</v>
      </c>
      <c r="K131" s="47">
        <v>2413</v>
      </c>
      <c r="L131" s="47">
        <v>0</v>
      </c>
      <c r="M131" s="47">
        <v>0</v>
      </c>
      <c r="N131" s="47">
        <v>2413</v>
      </c>
    </row>
    <row r="132" spans="1:17" x14ac:dyDescent="0.15">
      <c r="A132" s="32" t="s">
        <v>487</v>
      </c>
      <c r="B132" s="32" t="s">
        <v>850</v>
      </c>
      <c r="C132" s="32" t="s">
        <v>488</v>
      </c>
      <c r="D132" s="32" t="s">
        <v>487</v>
      </c>
      <c r="E132" s="32" t="s">
        <v>488</v>
      </c>
      <c r="F132" s="67">
        <v>1</v>
      </c>
      <c r="G132" s="47">
        <v>13927</v>
      </c>
      <c r="H132" s="47">
        <v>0</v>
      </c>
      <c r="I132" s="47">
        <v>11315</v>
      </c>
      <c r="J132" s="47">
        <v>25242</v>
      </c>
      <c r="K132" s="47">
        <v>5219</v>
      </c>
      <c r="L132" s="47">
        <v>0</v>
      </c>
      <c r="M132" s="47">
        <v>935</v>
      </c>
      <c r="N132" s="47">
        <v>6154</v>
      </c>
    </row>
    <row r="133" spans="1:17" x14ac:dyDescent="0.15">
      <c r="A133" s="105" t="s">
        <v>489</v>
      </c>
      <c r="B133" s="105" t="s">
        <v>850</v>
      </c>
      <c r="C133" s="105" t="s">
        <v>490</v>
      </c>
      <c r="D133" s="105" t="s">
        <v>489</v>
      </c>
      <c r="E133" s="32" t="s">
        <v>490</v>
      </c>
      <c r="F133" s="67">
        <v>1</v>
      </c>
      <c r="G133" s="47">
        <v>13030</v>
      </c>
      <c r="H133" s="47">
        <v>0</v>
      </c>
      <c r="I133" s="47">
        <v>3385</v>
      </c>
      <c r="J133" s="47">
        <v>16415</v>
      </c>
      <c r="K133" s="47">
        <v>4203</v>
      </c>
      <c r="L133" s="47">
        <v>0</v>
      </c>
      <c r="M133" s="47">
        <v>237</v>
      </c>
      <c r="N133" s="47">
        <v>4440</v>
      </c>
    </row>
    <row r="134" spans="1:17" x14ac:dyDescent="0.15">
      <c r="A134" s="105" t="s">
        <v>429</v>
      </c>
      <c r="B134" s="105" t="s">
        <v>850</v>
      </c>
      <c r="C134" s="105" t="s">
        <v>430</v>
      </c>
      <c r="D134" s="32" t="s">
        <v>429</v>
      </c>
      <c r="E134" s="32" t="s">
        <v>430</v>
      </c>
      <c r="F134" s="67">
        <v>1</v>
      </c>
      <c r="G134" s="47">
        <v>17475</v>
      </c>
      <c r="H134" s="47">
        <v>1989</v>
      </c>
      <c r="I134" s="47">
        <v>8689</v>
      </c>
      <c r="J134" s="47">
        <v>28153</v>
      </c>
      <c r="K134" s="47">
        <v>9091</v>
      </c>
      <c r="L134" s="47">
        <v>15</v>
      </c>
      <c r="M134" s="47">
        <v>282</v>
      </c>
      <c r="N134" s="47">
        <v>9388</v>
      </c>
    </row>
    <row r="135" spans="1:17" x14ac:dyDescent="0.15">
      <c r="A135" s="32" t="s">
        <v>423</v>
      </c>
      <c r="B135" s="32" t="s">
        <v>850</v>
      </c>
      <c r="C135" s="32" t="s">
        <v>738</v>
      </c>
      <c r="D135" s="32" t="s">
        <v>423</v>
      </c>
      <c r="E135" s="32" t="s">
        <v>738</v>
      </c>
      <c r="F135" s="67">
        <v>1</v>
      </c>
      <c r="G135" s="47">
        <v>0</v>
      </c>
      <c r="H135" s="47">
        <v>1654</v>
      </c>
      <c r="I135" s="47">
        <v>0</v>
      </c>
      <c r="J135" s="47">
        <v>1654</v>
      </c>
      <c r="K135" s="47">
        <v>0</v>
      </c>
      <c r="L135" s="47">
        <v>188</v>
      </c>
      <c r="M135" s="47">
        <v>0</v>
      </c>
      <c r="N135" s="47">
        <v>188</v>
      </c>
    </row>
    <row r="136" spans="1:17" x14ac:dyDescent="0.15">
      <c r="A136" s="32" t="s">
        <v>469</v>
      </c>
      <c r="B136" s="32" t="s">
        <v>850</v>
      </c>
      <c r="C136" s="32" t="s">
        <v>470</v>
      </c>
      <c r="D136" s="32" t="s">
        <v>469</v>
      </c>
      <c r="E136" s="32" t="s">
        <v>470</v>
      </c>
      <c r="F136" s="67">
        <v>1</v>
      </c>
      <c r="G136" s="47">
        <v>31246</v>
      </c>
      <c r="H136" s="47">
        <v>3914</v>
      </c>
      <c r="I136" s="47">
        <v>12346</v>
      </c>
      <c r="J136" s="47">
        <v>47506</v>
      </c>
      <c r="K136" s="47">
        <v>12733</v>
      </c>
      <c r="L136" s="47">
        <v>348</v>
      </c>
      <c r="M136" s="47">
        <v>379</v>
      </c>
      <c r="N136" s="47">
        <v>13460</v>
      </c>
    </row>
    <row r="137" spans="1:17" x14ac:dyDescent="0.15">
      <c r="A137" s="32" t="s">
        <v>424</v>
      </c>
      <c r="B137" s="32" t="s">
        <v>850</v>
      </c>
      <c r="C137" s="32" t="s">
        <v>425</v>
      </c>
      <c r="D137" s="32" t="s">
        <v>429</v>
      </c>
      <c r="E137" s="32" t="s">
        <v>430</v>
      </c>
      <c r="F137" s="67">
        <v>0.38195840707964601</v>
      </c>
      <c r="G137" s="47">
        <v>0</v>
      </c>
      <c r="H137" s="47">
        <v>0</v>
      </c>
      <c r="I137" s="47">
        <v>5505.9304380530975</v>
      </c>
      <c r="J137" s="47">
        <v>5505.9304380530975</v>
      </c>
      <c r="K137" s="47">
        <v>0</v>
      </c>
      <c r="L137" s="47">
        <v>0</v>
      </c>
      <c r="M137" s="47">
        <v>111.91381327433628</v>
      </c>
      <c r="N137" s="47">
        <v>111.91381327433628</v>
      </c>
    </row>
    <row r="138" spans="1:17" x14ac:dyDescent="0.15">
      <c r="A138" s="32" t="s">
        <v>424</v>
      </c>
      <c r="B138" s="32" t="s">
        <v>850</v>
      </c>
      <c r="C138" s="32" t="s">
        <v>425</v>
      </c>
      <c r="D138" s="32" t="s">
        <v>416</v>
      </c>
      <c r="E138" s="32" t="s">
        <v>736</v>
      </c>
      <c r="F138" s="67">
        <v>0.37588495575221237</v>
      </c>
      <c r="G138" s="47">
        <v>0</v>
      </c>
      <c r="H138" s="47">
        <v>0</v>
      </c>
      <c r="I138" s="47">
        <v>5418.3816371681414</v>
      </c>
      <c r="J138" s="47">
        <v>5418.3816371681414</v>
      </c>
      <c r="K138" s="47">
        <v>0</v>
      </c>
      <c r="L138" s="47">
        <v>0</v>
      </c>
      <c r="M138" s="47">
        <v>110.13429203539822</v>
      </c>
      <c r="N138" s="47">
        <v>110.13429203539822</v>
      </c>
    </row>
    <row r="139" spans="1:17" x14ac:dyDescent="0.15">
      <c r="A139" s="32" t="s">
        <v>424</v>
      </c>
      <c r="B139" s="32" t="s">
        <v>850</v>
      </c>
      <c r="C139" s="32" t="s">
        <v>425</v>
      </c>
      <c r="D139" s="32" t="s">
        <v>433</v>
      </c>
      <c r="E139" s="32" t="s">
        <v>740</v>
      </c>
      <c r="F139" s="67">
        <v>0.24215663716814159</v>
      </c>
      <c r="G139" s="47">
        <v>0</v>
      </c>
      <c r="H139" s="47">
        <v>0</v>
      </c>
      <c r="I139" s="47">
        <v>3490.687924778761</v>
      </c>
      <c r="J139" s="47">
        <v>3490.687924778761</v>
      </c>
      <c r="K139" s="47">
        <v>0</v>
      </c>
      <c r="L139" s="47">
        <v>0</v>
      </c>
      <c r="M139" s="47">
        <v>70.95189469026549</v>
      </c>
      <c r="N139" s="47">
        <v>70.95189469026549</v>
      </c>
    </row>
    <row r="140" spans="1:17" x14ac:dyDescent="0.15">
      <c r="A140" s="32" t="s">
        <v>426</v>
      </c>
      <c r="B140" s="32" t="s">
        <v>850</v>
      </c>
      <c r="C140" s="32" t="s">
        <v>427</v>
      </c>
      <c r="D140" s="32" t="s">
        <v>426</v>
      </c>
      <c r="E140" s="32" t="s">
        <v>427</v>
      </c>
      <c r="F140" s="67">
        <v>1</v>
      </c>
      <c r="G140" s="47">
        <v>7353</v>
      </c>
      <c r="H140" s="47">
        <v>0</v>
      </c>
      <c r="I140" s="47">
        <v>3319</v>
      </c>
      <c r="J140" s="47">
        <v>10672</v>
      </c>
      <c r="K140" s="47">
        <v>3696</v>
      </c>
      <c r="L140" s="47">
        <v>0</v>
      </c>
      <c r="M140" s="47">
        <v>22</v>
      </c>
      <c r="N140" s="47">
        <v>3718</v>
      </c>
    </row>
    <row r="141" spans="1:17" x14ac:dyDescent="0.15">
      <c r="A141" s="32" t="s">
        <v>428</v>
      </c>
      <c r="B141" s="32" t="s">
        <v>850</v>
      </c>
      <c r="C141" s="32" t="s">
        <v>780</v>
      </c>
      <c r="D141" s="32" t="s">
        <v>440</v>
      </c>
      <c r="E141" s="32" t="s">
        <v>441</v>
      </c>
      <c r="F141" s="67">
        <v>1</v>
      </c>
      <c r="G141" s="47">
        <v>0</v>
      </c>
      <c r="H141" s="47">
        <v>0</v>
      </c>
      <c r="I141" s="47">
        <v>1662</v>
      </c>
      <c r="J141" s="47">
        <v>1662</v>
      </c>
      <c r="K141" s="47">
        <v>0</v>
      </c>
      <c r="L141" s="47">
        <v>0</v>
      </c>
      <c r="M141" s="47">
        <v>0</v>
      </c>
      <c r="N141" s="47">
        <v>0</v>
      </c>
    </row>
    <row r="142" spans="1:17" x14ac:dyDescent="0.15">
      <c r="A142" s="32" t="s">
        <v>475</v>
      </c>
      <c r="B142" s="32" t="s">
        <v>850</v>
      </c>
      <c r="C142" s="32" t="s">
        <v>739</v>
      </c>
      <c r="D142" s="32" t="s">
        <v>475</v>
      </c>
      <c r="E142" s="32" t="s">
        <v>739</v>
      </c>
      <c r="F142" s="67">
        <v>1</v>
      </c>
      <c r="G142" s="47">
        <v>27197</v>
      </c>
      <c r="H142" s="47">
        <v>0</v>
      </c>
      <c r="I142" s="47">
        <v>9021</v>
      </c>
      <c r="J142" s="47">
        <v>36218</v>
      </c>
      <c r="K142" s="47">
        <v>10463</v>
      </c>
      <c r="L142" s="47">
        <v>0</v>
      </c>
      <c r="M142" s="47">
        <v>391</v>
      </c>
      <c r="N142" s="47">
        <v>10854</v>
      </c>
    </row>
    <row r="143" spans="1:17" x14ac:dyDescent="0.15">
      <c r="A143" s="32" t="s">
        <v>491</v>
      </c>
      <c r="B143" s="32" t="s">
        <v>850</v>
      </c>
      <c r="C143" s="32" t="s">
        <v>492</v>
      </c>
      <c r="D143" s="32" t="s">
        <v>475</v>
      </c>
      <c r="E143" s="32" t="s">
        <v>739</v>
      </c>
      <c r="F143" s="67">
        <v>1</v>
      </c>
      <c r="G143" s="47">
        <v>0</v>
      </c>
      <c r="H143" s="47">
        <v>0</v>
      </c>
      <c r="I143" s="47">
        <v>1040</v>
      </c>
      <c r="J143" s="47">
        <v>1040</v>
      </c>
      <c r="K143" s="47">
        <v>0</v>
      </c>
      <c r="L143" s="47">
        <v>0</v>
      </c>
      <c r="M143" s="47">
        <v>4</v>
      </c>
      <c r="N143" s="47">
        <v>4</v>
      </c>
    </row>
    <row r="144" spans="1:17" x14ac:dyDescent="0.15">
      <c r="A144" s="32" t="s">
        <v>493</v>
      </c>
      <c r="B144" s="32" t="s">
        <v>850</v>
      </c>
      <c r="C144" s="32" t="s">
        <v>494</v>
      </c>
      <c r="D144" s="32" t="s">
        <v>433</v>
      </c>
      <c r="E144" s="32" t="s">
        <v>740</v>
      </c>
      <c r="F144" s="67">
        <v>1</v>
      </c>
      <c r="G144" s="47">
        <v>0</v>
      </c>
      <c r="H144" s="47">
        <v>0</v>
      </c>
      <c r="I144" s="47">
        <v>1633</v>
      </c>
      <c r="J144" s="47">
        <v>1633</v>
      </c>
      <c r="K144" s="47">
        <v>0</v>
      </c>
      <c r="L144" s="47">
        <v>0</v>
      </c>
      <c r="M144" s="47">
        <v>13</v>
      </c>
      <c r="N144" s="47">
        <v>13</v>
      </c>
    </row>
    <row r="145" spans="1:14" x14ac:dyDescent="0.15">
      <c r="A145" s="32" t="s">
        <v>433</v>
      </c>
      <c r="B145" s="32" t="s">
        <v>850</v>
      </c>
      <c r="C145" s="32" t="s">
        <v>740</v>
      </c>
      <c r="D145" s="32" t="s">
        <v>433</v>
      </c>
      <c r="E145" s="32" t="s">
        <v>740</v>
      </c>
      <c r="F145" s="67">
        <v>1</v>
      </c>
      <c r="G145" s="47">
        <v>18040</v>
      </c>
      <c r="H145" s="47">
        <v>0</v>
      </c>
      <c r="I145" s="47">
        <v>7335</v>
      </c>
      <c r="J145" s="47">
        <v>25375</v>
      </c>
      <c r="K145" s="47">
        <v>6710</v>
      </c>
      <c r="L145" s="47">
        <v>0</v>
      </c>
      <c r="M145" s="47">
        <v>58</v>
      </c>
      <c r="N145" s="47">
        <v>6768</v>
      </c>
    </row>
    <row r="146" spans="1:14" x14ac:dyDescent="0.15">
      <c r="A146" s="32" t="s">
        <v>477</v>
      </c>
      <c r="B146" s="32" t="s">
        <v>850</v>
      </c>
      <c r="C146" s="32" t="s">
        <v>478</v>
      </c>
      <c r="D146" s="32" t="s">
        <v>477</v>
      </c>
      <c r="E146" s="32" t="s">
        <v>478</v>
      </c>
      <c r="F146" s="67">
        <v>1</v>
      </c>
      <c r="G146" s="47">
        <v>8875</v>
      </c>
      <c r="H146" s="47">
        <v>0</v>
      </c>
      <c r="I146" s="47">
        <v>2414</v>
      </c>
      <c r="J146" s="47">
        <v>11289</v>
      </c>
      <c r="K146" s="47">
        <v>3301</v>
      </c>
      <c r="L146" s="47">
        <v>0</v>
      </c>
      <c r="M146" s="47">
        <v>61</v>
      </c>
      <c r="N146" s="47">
        <v>3362</v>
      </c>
    </row>
    <row r="147" spans="1:14" x14ac:dyDescent="0.15">
      <c r="A147" s="32" t="s">
        <v>479</v>
      </c>
      <c r="B147" s="32" t="s">
        <v>850</v>
      </c>
      <c r="C147" s="32" t="s">
        <v>741</v>
      </c>
      <c r="D147" s="32" t="s">
        <v>479</v>
      </c>
      <c r="E147" s="32" t="s">
        <v>741</v>
      </c>
      <c r="F147" s="67">
        <v>1</v>
      </c>
      <c r="G147" s="47">
        <v>9548</v>
      </c>
      <c r="H147" s="47">
        <v>0</v>
      </c>
      <c r="I147" s="47">
        <v>2419</v>
      </c>
      <c r="J147" s="47">
        <v>11967</v>
      </c>
      <c r="K147" s="47">
        <v>4747</v>
      </c>
      <c r="L147" s="47">
        <v>0</v>
      </c>
      <c r="M147" s="47">
        <v>39</v>
      </c>
      <c r="N147" s="47">
        <v>4786</v>
      </c>
    </row>
    <row r="148" spans="1:14" x14ac:dyDescent="0.15">
      <c r="A148" s="32" t="s">
        <v>495</v>
      </c>
      <c r="B148" s="32" t="s">
        <v>850</v>
      </c>
      <c r="C148" s="32" t="s">
        <v>742</v>
      </c>
      <c r="D148" s="32" t="s">
        <v>495</v>
      </c>
      <c r="E148" s="32" t="s">
        <v>742</v>
      </c>
      <c r="F148" s="67">
        <v>1</v>
      </c>
      <c r="G148" s="47">
        <v>9076</v>
      </c>
      <c r="H148" s="47">
        <v>0</v>
      </c>
      <c r="I148" s="47">
        <v>4957</v>
      </c>
      <c r="J148" s="47">
        <v>14033</v>
      </c>
      <c r="K148" s="47">
        <v>3608</v>
      </c>
      <c r="L148" s="47">
        <v>0</v>
      </c>
      <c r="M148" s="47">
        <v>116</v>
      </c>
      <c r="N148" s="47">
        <v>3724</v>
      </c>
    </row>
    <row r="149" spans="1:14" x14ac:dyDescent="0.15">
      <c r="A149" s="32" t="s">
        <v>437</v>
      </c>
      <c r="B149" s="32" t="s">
        <v>850</v>
      </c>
      <c r="C149" s="32" t="s">
        <v>845</v>
      </c>
      <c r="D149" s="32" t="s">
        <v>437</v>
      </c>
      <c r="E149" s="32" t="s">
        <v>845</v>
      </c>
      <c r="F149" s="67">
        <v>1</v>
      </c>
      <c r="G149" s="47">
        <v>7511</v>
      </c>
      <c r="H149" s="47">
        <v>0</v>
      </c>
      <c r="I149" s="47">
        <v>6530</v>
      </c>
      <c r="J149" s="47">
        <v>14041</v>
      </c>
      <c r="K149" s="47">
        <v>3386</v>
      </c>
      <c r="L149" s="47">
        <v>0</v>
      </c>
      <c r="M149" s="47">
        <v>101</v>
      </c>
      <c r="N149" s="47">
        <v>3487</v>
      </c>
    </row>
    <row r="150" spans="1:14" x14ac:dyDescent="0.15">
      <c r="A150" s="32" t="s">
        <v>438</v>
      </c>
      <c r="B150" s="32" t="s">
        <v>850</v>
      </c>
      <c r="C150" s="32" t="s">
        <v>439</v>
      </c>
      <c r="D150" s="32" t="s">
        <v>440</v>
      </c>
      <c r="E150" s="32" t="s">
        <v>441</v>
      </c>
      <c r="F150" s="67">
        <v>1</v>
      </c>
      <c r="G150" s="47">
        <v>0</v>
      </c>
      <c r="H150" s="47">
        <v>0</v>
      </c>
      <c r="I150" s="47">
        <v>3605</v>
      </c>
      <c r="J150" s="47">
        <v>3605</v>
      </c>
      <c r="K150" s="47">
        <v>0</v>
      </c>
      <c r="L150" s="47">
        <v>0</v>
      </c>
      <c r="M150" s="47">
        <v>365</v>
      </c>
      <c r="N150" s="47">
        <v>365</v>
      </c>
    </row>
    <row r="151" spans="1:14" x14ac:dyDescent="0.15">
      <c r="A151" s="32" t="s">
        <v>440</v>
      </c>
      <c r="B151" s="32" t="s">
        <v>850</v>
      </c>
      <c r="C151" s="32" t="s">
        <v>441</v>
      </c>
      <c r="D151" s="32" t="s">
        <v>440</v>
      </c>
      <c r="E151" s="32" t="s">
        <v>441</v>
      </c>
      <c r="F151" s="67">
        <v>1</v>
      </c>
      <c r="G151" s="47">
        <v>8046</v>
      </c>
      <c r="H151" s="47">
        <v>0</v>
      </c>
      <c r="I151" s="47">
        <v>2623</v>
      </c>
      <c r="J151" s="47">
        <v>10669</v>
      </c>
      <c r="K151" s="47">
        <v>4552</v>
      </c>
      <c r="L151" s="47">
        <v>0</v>
      </c>
      <c r="M151" s="47">
        <v>416</v>
      </c>
      <c r="N151" s="47">
        <v>4968</v>
      </c>
    </row>
    <row r="152" spans="1:14" x14ac:dyDescent="0.15">
      <c r="A152" s="32" t="s">
        <v>484</v>
      </c>
      <c r="B152" s="32" t="s">
        <v>850</v>
      </c>
      <c r="C152" s="32" t="s">
        <v>743</v>
      </c>
      <c r="D152" s="32" t="s">
        <v>484</v>
      </c>
      <c r="E152" s="32" t="s">
        <v>743</v>
      </c>
      <c r="F152" s="67">
        <v>1</v>
      </c>
      <c r="G152" s="47">
        <v>7034</v>
      </c>
      <c r="H152" s="47">
        <v>0</v>
      </c>
      <c r="I152" s="47">
        <v>6080</v>
      </c>
      <c r="J152" s="47">
        <v>13114</v>
      </c>
      <c r="K152" s="47">
        <v>3978</v>
      </c>
      <c r="L152" s="47">
        <v>0</v>
      </c>
      <c r="M152" s="47">
        <v>84</v>
      </c>
      <c r="N152" s="47">
        <v>4062</v>
      </c>
    </row>
    <row r="153" spans="1:14" x14ac:dyDescent="0.15">
      <c r="A153" s="32" t="s">
        <v>652</v>
      </c>
      <c r="B153" s="32" t="s">
        <v>851</v>
      </c>
      <c r="C153" s="32" t="s">
        <v>744</v>
      </c>
      <c r="D153" s="105" t="s">
        <v>652</v>
      </c>
      <c r="E153" s="105" t="s">
        <v>744</v>
      </c>
      <c r="F153" s="67">
        <v>1</v>
      </c>
      <c r="G153" s="47">
        <v>8078</v>
      </c>
      <c r="H153" s="47">
        <v>0</v>
      </c>
      <c r="I153" s="47">
        <v>2683</v>
      </c>
      <c r="J153" s="47">
        <v>10761</v>
      </c>
      <c r="K153" s="47">
        <v>3388</v>
      </c>
      <c r="L153" s="47">
        <v>0</v>
      </c>
      <c r="M153" s="47">
        <v>157</v>
      </c>
      <c r="N153" s="47">
        <v>3545</v>
      </c>
    </row>
    <row r="154" spans="1:14" x14ac:dyDescent="0.15">
      <c r="A154" s="32" t="s">
        <v>781</v>
      </c>
      <c r="B154" s="32" t="s">
        <v>851</v>
      </c>
      <c r="C154" s="32" t="s">
        <v>656</v>
      </c>
      <c r="D154" s="105" t="s">
        <v>652</v>
      </c>
      <c r="E154" s="105" t="s">
        <v>744</v>
      </c>
      <c r="F154" s="67">
        <v>1</v>
      </c>
      <c r="G154" s="47">
        <v>0</v>
      </c>
      <c r="H154" s="47">
        <v>0</v>
      </c>
      <c r="I154" s="47">
        <v>2584</v>
      </c>
      <c r="J154" s="47">
        <v>2584</v>
      </c>
      <c r="K154" s="47">
        <v>0</v>
      </c>
      <c r="L154" s="47">
        <v>0</v>
      </c>
      <c r="M154" s="47">
        <v>273</v>
      </c>
      <c r="N154" s="47">
        <v>273</v>
      </c>
    </row>
    <row r="155" spans="1:14" x14ac:dyDescent="0.15">
      <c r="A155" s="32" t="s">
        <v>573</v>
      </c>
      <c r="B155" s="32" t="s">
        <v>851</v>
      </c>
      <c r="C155" s="32" t="s">
        <v>575</v>
      </c>
      <c r="D155" s="105" t="s">
        <v>584</v>
      </c>
      <c r="E155" s="105" t="s">
        <v>585</v>
      </c>
      <c r="F155" s="67">
        <v>1</v>
      </c>
      <c r="G155" s="47">
        <v>0</v>
      </c>
      <c r="H155" s="47">
        <v>0</v>
      </c>
      <c r="I155" s="47">
        <v>0</v>
      </c>
      <c r="J155" s="47">
        <v>0</v>
      </c>
      <c r="K155" s="47">
        <v>0</v>
      </c>
      <c r="L155" s="47">
        <v>0</v>
      </c>
      <c r="M155" s="47">
        <v>0</v>
      </c>
      <c r="N155" s="47">
        <v>0</v>
      </c>
    </row>
    <row r="156" spans="1:14" x14ac:dyDescent="0.15">
      <c r="A156" s="32" t="s">
        <v>576</v>
      </c>
      <c r="B156" s="32" t="s">
        <v>851</v>
      </c>
      <c r="C156" s="32" t="s">
        <v>577</v>
      </c>
      <c r="D156" s="105" t="s">
        <v>584</v>
      </c>
      <c r="E156" s="105" t="s">
        <v>585</v>
      </c>
      <c r="F156" s="67">
        <v>1</v>
      </c>
      <c r="G156" s="47">
        <v>0</v>
      </c>
      <c r="H156" s="47">
        <v>0</v>
      </c>
      <c r="I156" s="47">
        <v>1419</v>
      </c>
      <c r="J156" s="47">
        <v>1419</v>
      </c>
      <c r="K156" s="47">
        <v>0</v>
      </c>
      <c r="L156" s="47">
        <v>0</v>
      </c>
      <c r="M156" s="47">
        <v>19</v>
      </c>
      <c r="N156" s="47">
        <v>19</v>
      </c>
    </row>
    <row r="157" spans="1:14" x14ac:dyDescent="0.15">
      <c r="A157" s="32" t="s">
        <v>613</v>
      </c>
      <c r="B157" s="32" t="s">
        <v>851</v>
      </c>
      <c r="C157" s="32" t="s">
        <v>614</v>
      </c>
      <c r="D157" s="105" t="s">
        <v>617</v>
      </c>
      <c r="E157" s="105" t="s">
        <v>618</v>
      </c>
      <c r="F157" s="67">
        <v>1</v>
      </c>
      <c r="G157" s="47">
        <v>0</v>
      </c>
      <c r="H157" s="47">
        <v>0</v>
      </c>
      <c r="I157" s="47">
        <v>0</v>
      </c>
      <c r="J157" s="47">
        <v>0</v>
      </c>
      <c r="K157" s="47">
        <v>0</v>
      </c>
      <c r="L157" s="47">
        <v>0</v>
      </c>
      <c r="M157" s="47">
        <v>0</v>
      </c>
      <c r="N157" s="47">
        <v>0</v>
      </c>
    </row>
    <row r="158" spans="1:14" x14ac:dyDescent="0.15">
      <c r="A158" s="103" t="s">
        <v>668</v>
      </c>
      <c r="B158" s="103" t="s">
        <v>851</v>
      </c>
      <c r="C158" s="103" t="s">
        <v>782</v>
      </c>
      <c r="D158" s="105" t="s">
        <v>678</v>
      </c>
      <c r="E158" s="105" t="s">
        <v>749</v>
      </c>
      <c r="F158" s="67">
        <v>1</v>
      </c>
      <c r="G158" s="47">
        <v>0</v>
      </c>
      <c r="H158" s="47">
        <v>0</v>
      </c>
      <c r="I158" s="47">
        <v>1969</v>
      </c>
      <c r="J158" s="47">
        <v>1969</v>
      </c>
      <c r="K158" s="47">
        <v>0</v>
      </c>
      <c r="L158" s="47">
        <v>0</v>
      </c>
      <c r="M158" s="47">
        <v>0</v>
      </c>
      <c r="N158" s="47">
        <v>0</v>
      </c>
    </row>
    <row r="159" spans="1:14" x14ac:dyDescent="0.15">
      <c r="A159" s="103" t="s">
        <v>578</v>
      </c>
      <c r="B159" s="103" t="s">
        <v>851</v>
      </c>
      <c r="C159" s="103" t="s">
        <v>579</v>
      </c>
      <c r="D159" s="105" t="s">
        <v>578</v>
      </c>
      <c r="E159" s="105" t="s">
        <v>579</v>
      </c>
      <c r="F159" s="67">
        <v>1</v>
      </c>
      <c r="G159" s="47">
        <v>9848</v>
      </c>
      <c r="H159" s="47">
        <v>1233</v>
      </c>
      <c r="I159" s="47">
        <v>3232</v>
      </c>
      <c r="J159" s="47">
        <v>14313</v>
      </c>
      <c r="K159" s="47">
        <v>3093</v>
      </c>
      <c r="L159" s="47">
        <v>0</v>
      </c>
      <c r="M159" s="47">
        <v>120</v>
      </c>
      <c r="N159" s="47">
        <v>3213</v>
      </c>
    </row>
    <row r="160" spans="1:14" x14ac:dyDescent="0.15">
      <c r="A160" s="32" t="s">
        <v>639</v>
      </c>
      <c r="B160" s="32" t="s">
        <v>851</v>
      </c>
      <c r="C160" s="32" t="s">
        <v>745</v>
      </c>
      <c r="D160" s="105" t="s">
        <v>639</v>
      </c>
      <c r="E160" s="105" t="s">
        <v>745</v>
      </c>
      <c r="F160" s="67">
        <v>1</v>
      </c>
      <c r="G160" s="47">
        <v>12375</v>
      </c>
      <c r="H160" s="47">
        <v>0</v>
      </c>
      <c r="I160" s="47">
        <v>4121</v>
      </c>
      <c r="J160" s="47">
        <v>16496</v>
      </c>
      <c r="K160" s="47">
        <v>3177</v>
      </c>
      <c r="L160" s="47">
        <v>0</v>
      </c>
      <c r="M160" s="47">
        <v>98</v>
      </c>
      <c r="N160" s="47">
        <v>3275</v>
      </c>
    </row>
    <row r="161" spans="1:14" x14ac:dyDescent="0.15">
      <c r="A161" s="32" t="s">
        <v>641</v>
      </c>
      <c r="B161" s="32" t="s">
        <v>851</v>
      </c>
      <c r="C161" s="32" t="s">
        <v>642</v>
      </c>
      <c r="D161" s="105" t="s">
        <v>641</v>
      </c>
      <c r="E161" s="105" t="s">
        <v>642</v>
      </c>
      <c r="F161" s="67">
        <v>1</v>
      </c>
      <c r="G161" s="47">
        <v>13689</v>
      </c>
      <c r="H161" s="47">
        <v>0</v>
      </c>
      <c r="I161" s="47">
        <v>13271</v>
      </c>
      <c r="J161" s="47">
        <v>26960</v>
      </c>
      <c r="K161" s="47">
        <v>6715</v>
      </c>
      <c r="L161" s="47">
        <v>0</v>
      </c>
      <c r="M161" s="47">
        <v>814</v>
      </c>
      <c r="N161" s="47">
        <v>7529</v>
      </c>
    </row>
    <row r="162" spans="1:14" x14ac:dyDescent="0.15">
      <c r="A162" s="32" t="s">
        <v>669</v>
      </c>
      <c r="B162" s="32" t="s">
        <v>851</v>
      </c>
      <c r="C162" s="32" t="s">
        <v>670</v>
      </c>
      <c r="D162" s="32" t="s">
        <v>669</v>
      </c>
      <c r="E162" s="32" t="s">
        <v>670</v>
      </c>
      <c r="F162" s="67">
        <v>1</v>
      </c>
      <c r="G162" s="47">
        <v>12359</v>
      </c>
      <c r="H162" s="47">
        <v>0</v>
      </c>
      <c r="I162" s="47">
        <v>3758</v>
      </c>
      <c r="J162" s="47">
        <v>16117</v>
      </c>
      <c r="K162" s="47">
        <v>4119</v>
      </c>
      <c r="L162" s="47">
        <v>0</v>
      </c>
      <c r="M162" s="47">
        <v>48</v>
      </c>
      <c r="N162" s="47">
        <v>4167</v>
      </c>
    </row>
    <row r="163" spans="1:14" x14ac:dyDescent="0.15">
      <c r="A163" s="32" t="s">
        <v>671</v>
      </c>
      <c r="B163" s="32" t="s">
        <v>851</v>
      </c>
      <c r="C163" s="32" t="s">
        <v>672</v>
      </c>
      <c r="D163" s="32" t="s">
        <v>669</v>
      </c>
      <c r="E163" s="32" t="s">
        <v>670</v>
      </c>
      <c r="F163" s="67">
        <v>1</v>
      </c>
      <c r="G163" s="47">
        <v>0</v>
      </c>
      <c r="H163" s="47">
        <v>0</v>
      </c>
      <c r="I163" s="47">
        <v>0</v>
      </c>
      <c r="J163" s="47">
        <v>0</v>
      </c>
      <c r="K163" s="47">
        <v>0</v>
      </c>
      <c r="L163" s="47">
        <v>0</v>
      </c>
      <c r="M163" s="47">
        <v>0</v>
      </c>
      <c r="N163" s="47">
        <v>0</v>
      </c>
    </row>
    <row r="164" spans="1:14" x14ac:dyDescent="0.15">
      <c r="A164" s="105" t="s">
        <v>797</v>
      </c>
      <c r="B164" s="105" t="s">
        <v>851</v>
      </c>
      <c r="C164" s="105" t="s">
        <v>796</v>
      </c>
      <c r="D164" s="105" t="s">
        <v>641</v>
      </c>
      <c r="E164" s="105" t="s">
        <v>642</v>
      </c>
      <c r="F164" s="67">
        <v>1</v>
      </c>
      <c r="G164" s="47">
        <v>0</v>
      </c>
      <c r="H164" s="47">
        <v>0</v>
      </c>
      <c r="I164" s="47">
        <v>2784</v>
      </c>
      <c r="J164" s="47">
        <v>2784</v>
      </c>
      <c r="K164" s="47">
        <v>0</v>
      </c>
      <c r="L164" s="47">
        <v>0</v>
      </c>
      <c r="M164" s="47">
        <v>0</v>
      </c>
      <c r="N164" s="47">
        <v>0</v>
      </c>
    </row>
    <row r="165" spans="1:14" x14ac:dyDescent="0.15">
      <c r="A165" s="32" t="s">
        <v>673</v>
      </c>
      <c r="B165" s="32" t="s">
        <v>851</v>
      </c>
      <c r="C165" s="32" t="s">
        <v>783</v>
      </c>
      <c r="D165" s="32" t="s">
        <v>667</v>
      </c>
      <c r="E165" s="32" t="s">
        <v>748</v>
      </c>
      <c r="F165" s="67">
        <v>1</v>
      </c>
      <c r="G165" s="47">
        <v>0</v>
      </c>
      <c r="H165" s="47">
        <v>0</v>
      </c>
      <c r="I165" s="47">
        <v>2453</v>
      </c>
      <c r="J165" s="47">
        <v>2453</v>
      </c>
      <c r="K165" s="47">
        <v>0</v>
      </c>
      <c r="L165" s="47">
        <v>0</v>
      </c>
      <c r="M165" s="47">
        <v>70</v>
      </c>
      <c r="N165" s="47">
        <v>70</v>
      </c>
    </row>
    <row r="166" spans="1:14" x14ac:dyDescent="0.15">
      <c r="A166" s="32" t="s">
        <v>617</v>
      </c>
      <c r="B166" s="32" t="s">
        <v>851</v>
      </c>
      <c r="C166" s="32" t="s">
        <v>618</v>
      </c>
      <c r="D166" s="32" t="s">
        <v>617</v>
      </c>
      <c r="E166" s="32" t="s">
        <v>618</v>
      </c>
      <c r="F166" s="67">
        <v>1</v>
      </c>
      <c r="G166" s="47">
        <v>23398</v>
      </c>
      <c r="H166" s="47">
        <v>944</v>
      </c>
      <c r="I166" s="47">
        <v>11567</v>
      </c>
      <c r="J166" s="47">
        <v>35909</v>
      </c>
      <c r="K166" s="47">
        <v>8750</v>
      </c>
      <c r="L166" s="47">
        <v>0</v>
      </c>
      <c r="M166" s="47">
        <v>131</v>
      </c>
      <c r="N166" s="47">
        <v>8881</v>
      </c>
    </row>
    <row r="167" spans="1:14" x14ac:dyDescent="0.15">
      <c r="A167" s="32" t="s">
        <v>625</v>
      </c>
      <c r="B167" s="32" t="s">
        <v>851</v>
      </c>
      <c r="C167" s="32" t="s">
        <v>626</v>
      </c>
      <c r="D167" s="32" t="s">
        <v>625</v>
      </c>
      <c r="E167" s="32" t="s">
        <v>626</v>
      </c>
      <c r="F167" s="67">
        <v>1</v>
      </c>
      <c r="G167" s="47">
        <v>10050</v>
      </c>
      <c r="H167" s="47">
        <v>82</v>
      </c>
      <c r="I167" s="47">
        <v>4873</v>
      </c>
      <c r="J167" s="47">
        <v>15005</v>
      </c>
      <c r="K167" s="47">
        <v>5203</v>
      </c>
      <c r="L167" s="47">
        <v>0</v>
      </c>
      <c r="M167" s="47">
        <v>423</v>
      </c>
      <c r="N167" s="47">
        <v>5626</v>
      </c>
    </row>
    <row r="168" spans="1:14" x14ac:dyDescent="0.15">
      <c r="A168" s="105" t="s">
        <v>801</v>
      </c>
      <c r="B168" s="105" t="s">
        <v>851</v>
      </c>
      <c r="C168" s="105" t="s">
        <v>802</v>
      </c>
      <c r="D168" s="105" t="s">
        <v>641</v>
      </c>
      <c r="E168" s="105" t="s">
        <v>642</v>
      </c>
      <c r="F168" s="67">
        <v>1</v>
      </c>
      <c r="G168" s="47">
        <v>0</v>
      </c>
      <c r="H168" s="47">
        <v>0</v>
      </c>
      <c r="I168" s="47">
        <v>2779</v>
      </c>
      <c r="J168" s="47">
        <v>2779</v>
      </c>
      <c r="K168" s="47">
        <v>0</v>
      </c>
      <c r="L168" s="47">
        <v>0</v>
      </c>
      <c r="M168" s="47">
        <v>0</v>
      </c>
      <c r="N168" s="47">
        <v>0</v>
      </c>
    </row>
    <row r="169" spans="1:14" x14ac:dyDescent="0.15">
      <c r="A169" s="32" t="s">
        <v>627</v>
      </c>
      <c r="B169" s="32" t="s">
        <v>851</v>
      </c>
      <c r="C169" s="32" t="s">
        <v>746</v>
      </c>
      <c r="D169" s="32" t="s">
        <v>627</v>
      </c>
      <c r="E169" s="32" t="s">
        <v>746</v>
      </c>
      <c r="F169" s="67">
        <v>1</v>
      </c>
      <c r="G169" s="47">
        <v>4442</v>
      </c>
      <c r="H169" s="47">
        <v>230</v>
      </c>
      <c r="I169" s="47">
        <v>1741</v>
      </c>
      <c r="J169" s="47">
        <v>6413</v>
      </c>
      <c r="K169" s="47">
        <v>1247</v>
      </c>
      <c r="L169" s="47">
        <v>0</v>
      </c>
      <c r="M169" s="47">
        <v>28</v>
      </c>
      <c r="N169" s="47">
        <v>1275</v>
      </c>
    </row>
    <row r="170" spans="1:14" x14ac:dyDescent="0.15">
      <c r="A170" s="32" t="s">
        <v>643</v>
      </c>
      <c r="B170" s="32" t="s">
        <v>851</v>
      </c>
      <c r="C170" s="32" t="s">
        <v>644</v>
      </c>
      <c r="D170" s="32" t="s">
        <v>641</v>
      </c>
      <c r="E170" s="32" t="s">
        <v>642</v>
      </c>
      <c r="F170" s="67">
        <v>1</v>
      </c>
      <c r="G170" s="47">
        <v>0</v>
      </c>
      <c r="H170" s="47">
        <v>0</v>
      </c>
      <c r="I170" s="47">
        <v>6655</v>
      </c>
      <c r="J170" s="47">
        <v>6655</v>
      </c>
      <c r="K170" s="47">
        <v>0</v>
      </c>
      <c r="L170" s="47">
        <v>0</v>
      </c>
      <c r="M170" s="47">
        <v>95</v>
      </c>
      <c r="N170" s="47">
        <v>95</v>
      </c>
    </row>
    <row r="171" spans="1:14" x14ac:dyDescent="0.15">
      <c r="A171" s="105" t="s">
        <v>645</v>
      </c>
      <c r="B171" s="105" t="s">
        <v>851</v>
      </c>
      <c r="C171" s="105" t="s">
        <v>747</v>
      </c>
      <c r="D171" s="105" t="s">
        <v>645</v>
      </c>
      <c r="E171" s="105" t="s">
        <v>747</v>
      </c>
      <c r="F171" s="67">
        <v>1</v>
      </c>
      <c r="G171" s="47">
        <v>21697</v>
      </c>
      <c r="H171" s="47">
        <v>0</v>
      </c>
      <c r="I171" s="47">
        <v>1712</v>
      </c>
      <c r="J171" s="47">
        <v>23409</v>
      </c>
      <c r="K171" s="47">
        <v>5871</v>
      </c>
      <c r="L171" s="47">
        <v>0</v>
      </c>
      <c r="M171" s="47">
        <v>1</v>
      </c>
      <c r="N171" s="47">
        <v>5872</v>
      </c>
    </row>
    <row r="172" spans="1:14" x14ac:dyDescent="0.15">
      <c r="A172" s="105" t="s">
        <v>646</v>
      </c>
      <c r="B172" s="105" t="s">
        <v>851</v>
      </c>
      <c r="C172" s="105" t="s">
        <v>647</v>
      </c>
      <c r="D172" s="105" t="s">
        <v>646</v>
      </c>
      <c r="E172" s="105" t="s">
        <v>647</v>
      </c>
      <c r="F172" s="67">
        <v>1</v>
      </c>
      <c r="G172" s="47">
        <v>10582</v>
      </c>
      <c r="H172" s="47">
        <v>0</v>
      </c>
      <c r="I172" s="47">
        <v>6701</v>
      </c>
      <c r="J172" s="47">
        <v>17283</v>
      </c>
      <c r="K172" s="47">
        <v>3207</v>
      </c>
      <c r="L172" s="47">
        <v>0</v>
      </c>
      <c r="M172" s="47">
        <v>1016</v>
      </c>
      <c r="N172" s="47">
        <v>4223</v>
      </c>
    </row>
    <row r="173" spans="1:14" x14ac:dyDescent="0.15">
      <c r="A173" s="105" t="s">
        <v>580</v>
      </c>
      <c r="B173" s="105" t="s">
        <v>851</v>
      </c>
      <c r="C173" s="105" t="s">
        <v>581</v>
      </c>
      <c r="D173" s="105" t="s">
        <v>582</v>
      </c>
      <c r="E173" s="105" t="s">
        <v>583</v>
      </c>
      <c r="F173" s="67">
        <v>0.82799999999999996</v>
      </c>
      <c r="G173" s="47">
        <v>0</v>
      </c>
      <c r="H173" s="47">
        <v>0</v>
      </c>
      <c r="I173" s="47">
        <v>4064.6519999999996</v>
      </c>
      <c r="J173" s="47">
        <v>4064.6519999999996</v>
      </c>
      <c r="K173" s="47">
        <v>0</v>
      </c>
      <c r="L173" s="47">
        <v>0</v>
      </c>
      <c r="M173" s="47">
        <v>202.85999999999999</v>
      </c>
      <c r="N173" s="47">
        <v>202.85999999999999</v>
      </c>
    </row>
    <row r="174" spans="1:14" x14ac:dyDescent="0.15">
      <c r="A174" s="105" t="s">
        <v>580</v>
      </c>
      <c r="B174" s="105" t="s">
        <v>851</v>
      </c>
      <c r="C174" s="105" t="s">
        <v>581</v>
      </c>
      <c r="D174" s="105" t="s">
        <v>584</v>
      </c>
      <c r="E174" s="105" t="s">
        <v>585</v>
      </c>
      <c r="F174" s="67">
        <v>0.17199999999999999</v>
      </c>
      <c r="G174" s="47">
        <v>0</v>
      </c>
      <c r="H174" s="47">
        <v>0</v>
      </c>
      <c r="I174" s="47">
        <v>844.34799999999996</v>
      </c>
      <c r="J174" s="47">
        <v>844.34799999999996</v>
      </c>
      <c r="K174" s="47">
        <v>0</v>
      </c>
      <c r="L174" s="47">
        <v>0</v>
      </c>
      <c r="M174" s="47">
        <v>42.139999999999993</v>
      </c>
      <c r="N174" s="47">
        <v>42.139999999999993</v>
      </c>
    </row>
    <row r="175" spans="1:14" x14ac:dyDescent="0.15">
      <c r="A175" s="105" t="s">
        <v>582</v>
      </c>
      <c r="B175" s="105" t="s">
        <v>851</v>
      </c>
      <c r="C175" s="105" t="s">
        <v>583</v>
      </c>
      <c r="D175" s="105" t="s">
        <v>582</v>
      </c>
      <c r="E175" s="105" t="s">
        <v>583</v>
      </c>
      <c r="F175" s="67">
        <v>1</v>
      </c>
      <c r="G175" s="47">
        <v>15665</v>
      </c>
      <c r="H175" s="47">
        <v>1472</v>
      </c>
      <c r="I175" s="47">
        <v>2856</v>
      </c>
      <c r="J175" s="47">
        <v>19993</v>
      </c>
      <c r="K175" s="47">
        <v>4092</v>
      </c>
      <c r="L175" s="47">
        <v>0</v>
      </c>
      <c r="M175" s="47">
        <v>0</v>
      </c>
      <c r="N175" s="47">
        <v>4092</v>
      </c>
    </row>
    <row r="176" spans="1:14" x14ac:dyDescent="0.15">
      <c r="A176" s="105" t="s">
        <v>630</v>
      </c>
      <c r="B176" s="105" t="s">
        <v>851</v>
      </c>
      <c r="C176" s="105" t="s">
        <v>631</v>
      </c>
      <c r="D176" s="105" t="s">
        <v>637</v>
      </c>
      <c r="E176" s="105" t="s">
        <v>638</v>
      </c>
      <c r="F176" s="67">
        <v>1</v>
      </c>
      <c r="G176" s="47">
        <v>0</v>
      </c>
      <c r="H176" s="47">
        <v>0</v>
      </c>
      <c r="I176" s="47">
        <v>3185</v>
      </c>
      <c r="J176" s="47">
        <v>3185</v>
      </c>
      <c r="K176" s="47">
        <v>0</v>
      </c>
      <c r="L176" s="47">
        <v>0</v>
      </c>
      <c r="M176" s="47">
        <v>264</v>
      </c>
      <c r="N176" s="47">
        <v>264</v>
      </c>
    </row>
    <row r="177" spans="1:14" x14ac:dyDescent="0.15">
      <c r="A177" s="105" t="s">
        <v>628</v>
      </c>
      <c r="B177" s="105" t="s">
        <v>851</v>
      </c>
      <c r="C177" s="105" t="s">
        <v>629</v>
      </c>
      <c r="D177" s="105" t="s">
        <v>628</v>
      </c>
      <c r="E177" s="105" t="s">
        <v>629</v>
      </c>
      <c r="F177" s="67">
        <v>1</v>
      </c>
      <c r="G177" s="47">
        <v>13784</v>
      </c>
      <c r="H177" s="47">
        <v>1176</v>
      </c>
      <c r="I177" s="47">
        <v>4331</v>
      </c>
      <c r="J177" s="47">
        <v>19291</v>
      </c>
      <c r="K177" s="47">
        <v>5487</v>
      </c>
      <c r="L177" s="47">
        <v>24</v>
      </c>
      <c r="M177" s="47">
        <v>21</v>
      </c>
      <c r="N177" s="47">
        <v>5532</v>
      </c>
    </row>
    <row r="178" spans="1:14" x14ac:dyDescent="0.15">
      <c r="A178" s="105" t="s">
        <v>674</v>
      </c>
      <c r="B178" s="105" t="s">
        <v>851</v>
      </c>
      <c r="C178" s="105" t="s">
        <v>675</v>
      </c>
      <c r="D178" s="105" t="s">
        <v>667</v>
      </c>
      <c r="E178" s="105" t="s">
        <v>748</v>
      </c>
      <c r="F178" s="67">
        <v>1</v>
      </c>
      <c r="G178" s="47">
        <v>0</v>
      </c>
      <c r="H178" s="47">
        <v>0</v>
      </c>
      <c r="I178" s="47">
        <v>1433</v>
      </c>
      <c r="J178" s="47">
        <v>1433</v>
      </c>
      <c r="K178" s="47">
        <v>0</v>
      </c>
      <c r="L178" s="47">
        <v>0</v>
      </c>
      <c r="M178" s="47">
        <v>1</v>
      </c>
      <c r="N178" s="47">
        <v>1</v>
      </c>
    </row>
    <row r="179" spans="1:14" x14ac:dyDescent="0.15">
      <c r="A179" s="105" t="s">
        <v>584</v>
      </c>
      <c r="B179" s="105" t="s">
        <v>851</v>
      </c>
      <c r="C179" s="105" t="s">
        <v>585</v>
      </c>
      <c r="D179" s="105" t="s">
        <v>584</v>
      </c>
      <c r="E179" s="105" t="s">
        <v>585</v>
      </c>
      <c r="F179" s="67">
        <v>1</v>
      </c>
      <c r="G179" s="47">
        <v>12872</v>
      </c>
      <c r="H179" s="47">
        <v>2923</v>
      </c>
      <c r="I179" s="47">
        <v>3494</v>
      </c>
      <c r="J179" s="47">
        <v>19289</v>
      </c>
      <c r="K179" s="47">
        <v>4772</v>
      </c>
      <c r="L179" s="47">
        <v>133</v>
      </c>
      <c r="M179" s="47">
        <v>0</v>
      </c>
      <c r="N179" s="47">
        <v>4905</v>
      </c>
    </row>
    <row r="180" spans="1:14" x14ac:dyDescent="0.15">
      <c r="A180" s="105" t="s">
        <v>659</v>
      </c>
      <c r="B180" s="105" t="s">
        <v>851</v>
      </c>
      <c r="C180" s="105" t="s">
        <v>660</v>
      </c>
      <c r="D180" s="105" t="s">
        <v>659</v>
      </c>
      <c r="E180" s="105" t="s">
        <v>660</v>
      </c>
      <c r="F180" s="67">
        <v>1</v>
      </c>
      <c r="G180" s="47">
        <v>7978</v>
      </c>
      <c r="H180" s="47">
        <v>0</v>
      </c>
      <c r="I180" s="47">
        <v>2477</v>
      </c>
      <c r="J180" s="47">
        <v>10455</v>
      </c>
      <c r="K180" s="47">
        <v>2800</v>
      </c>
      <c r="L180" s="47">
        <v>0</v>
      </c>
      <c r="M180" s="47">
        <v>1</v>
      </c>
      <c r="N180" s="47">
        <v>2801</v>
      </c>
    </row>
    <row r="181" spans="1:14" x14ac:dyDescent="0.15">
      <c r="A181" s="105" t="s">
        <v>632</v>
      </c>
      <c r="B181" s="105" t="s">
        <v>851</v>
      </c>
      <c r="C181" s="105" t="s">
        <v>633</v>
      </c>
      <c r="D181" s="105" t="s">
        <v>637</v>
      </c>
      <c r="E181" s="105" t="s">
        <v>638</v>
      </c>
      <c r="F181" s="67">
        <v>1</v>
      </c>
      <c r="G181" s="47">
        <v>0</v>
      </c>
      <c r="H181" s="47">
        <v>0</v>
      </c>
      <c r="I181" s="47">
        <v>5701</v>
      </c>
      <c r="J181" s="47">
        <v>5701</v>
      </c>
      <c r="K181" s="47">
        <v>0</v>
      </c>
      <c r="L181" s="47">
        <v>0</v>
      </c>
      <c r="M181" s="47">
        <v>182</v>
      </c>
      <c r="N181" s="47">
        <v>182</v>
      </c>
    </row>
    <row r="182" spans="1:14" x14ac:dyDescent="0.15">
      <c r="A182" s="105" t="s">
        <v>634</v>
      </c>
      <c r="B182" s="105" t="s">
        <v>851</v>
      </c>
      <c r="C182" s="105" t="s">
        <v>784</v>
      </c>
      <c r="D182" s="105" t="s">
        <v>628</v>
      </c>
      <c r="E182" s="105" t="s">
        <v>629</v>
      </c>
      <c r="F182" s="67">
        <v>1</v>
      </c>
      <c r="G182" s="47">
        <v>0</v>
      </c>
      <c r="H182" s="47">
        <v>0</v>
      </c>
      <c r="I182" s="47">
        <v>2855</v>
      </c>
      <c r="J182" s="47">
        <v>2855</v>
      </c>
      <c r="K182" s="47">
        <v>0</v>
      </c>
      <c r="L182" s="47">
        <v>0</v>
      </c>
      <c r="M182" s="47">
        <v>50</v>
      </c>
      <c r="N182" s="47">
        <v>50</v>
      </c>
    </row>
    <row r="183" spans="1:14" x14ac:dyDescent="0.15">
      <c r="A183" s="105" t="s">
        <v>636</v>
      </c>
      <c r="B183" s="105" t="s">
        <v>851</v>
      </c>
      <c r="C183" s="105" t="s">
        <v>785</v>
      </c>
      <c r="D183" s="105" t="s">
        <v>628</v>
      </c>
      <c r="E183" s="105" t="s">
        <v>629</v>
      </c>
      <c r="F183" s="67">
        <v>1</v>
      </c>
      <c r="G183" s="47">
        <v>0</v>
      </c>
      <c r="H183" s="47">
        <v>0</v>
      </c>
      <c r="I183" s="47">
        <v>5733</v>
      </c>
      <c r="J183" s="47">
        <v>5733</v>
      </c>
      <c r="K183" s="47">
        <v>0</v>
      </c>
      <c r="L183" s="47">
        <v>0</v>
      </c>
      <c r="M183" s="47">
        <v>144</v>
      </c>
      <c r="N183" s="47">
        <v>144</v>
      </c>
    </row>
    <row r="184" spans="1:14" x14ac:dyDescent="0.15">
      <c r="A184" s="105" t="s">
        <v>803</v>
      </c>
      <c r="B184" s="105" t="s">
        <v>851</v>
      </c>
      <c r="C184" s="32" t="s">
        <v>804</v>
      </c>
      <c r="D184" s="105" t="s">
        <v>669</v>
      </c>
      <c r="E184" s="105" t="s">
        <v>670</v>
      </c>
      <c r="F184" s="67">
        <v>1</v>
      </c>
      <c r="G184" s="47">
        <v>0</v>
      </c>
      <c r="H184" s="47">
        <v>0</v>
      </c>
      <c r="I184" s="47">
        <v>901</v>
      </c>
      <c r="J184" s="47">
        <v>901</v>
      </c>
      <c r="K184" s="47">
        <v>0</v>
      </c>
      <c r="L184" s="47">
        <v>0</v>
      </c>
      <c r="M184" s="47">
        <v>0</v>
      </c>
      <c r="N184" s="47">
        <v>0</v>
      </c>
    </row>
    <row r="185" spans="1:14" x14ac:dyDescent="0.15">
      <c r="A185" s="32" t="s">
        <v>667</v>
      </c>
      <c r="B185" s="32" t="s">
        <v>851</v>
      </c>
      <c r="C185" s="32" t="s">
        <v>748</v>
      </c>
      <c r="D185" s="32" t="s">
        <v>667</v>
      </c>
      <c r="E185" s="32" t="s">
        <v>748</v>
      </c>
      <c r="F185" s="67">
        <v>1</v>
      </c>
      <c r="G185" s="47">
        <v>11041</v>
      </c>
      <c r="H185" s="47">
        <v>0</v>
      </c>
      <c r="I185" s="47">
        <v>0</v>
      </c>
      <c r="J185" s="47">
        <v>11041</v>
      </c>
      <c r="K185" s="47">
        <v>5288</v>
      </c>
      <c r="L185" s="47">
        <v>0</v>
      </c>
      <c r="M185" s="47">
        <v>0</v>
      </c>
      <c r="N185" s="47">
        <v>5288</v>
      </c>
    </row>
    <row r="186" spans="1:14" x14ac:dyDescent="0.15">
      <c r="A186" s="32" t="s">
        <v>676</v>
      </c>
      <c r="B186" s="32" t="s">
        <v>851</v>
      </c>
      <c r="C186" s="32" t="s">
        <v>677</v>
      </c>
      <c r="D186" s="32" t="s">
        <v>667</v>
      </c>
      <c r="E186" s="32" t="s">
        <v>748</v>
      </c>
      <c r="F186" s="67">
        <v>0.66419432317708726</v>
      </c>
      <c r="G186" s="47">
        <v>0</v>
      </c>
      <c r="H186" s="47">
        <v>0</v>
      </c>
      <c r="I186" s="47">
        <v>8718.2146860224475</v>
      </c>
      <c r="J186" s="47">
        <v>8718.2146860224475</v>
      </c>
      <c r="K186" s="47">
        <v>0</v>
      </c>
      <c r="L186" s="47">
        <v>0</v>
      </c>
      <c r="M186" s="47">
        <v>324.79102403359565</v>
      </c>
      <c r="N186" s="47">
        <v>324.79102403359565</v>
      </c>
    </row>
    <row r="187" spans="1:14" x14ac:dyDescent="0.15">
      <c r="A187" s="32" t="s">
        <v>676</v>
      </c>
      <c r="B187" s="32" t="s">
        <v>851</v>
      </c>
      <c r="C187" s="32" t="s">
        <v>677</v>
      </c>
      <c r="D187" s="32" t="s">
        <v>678</v>
      </c>
      <c r="E187" s="32" t="s">
        <v>749</v>
      </c>
      <c r="F187" s="67">
        <v>0.25687699209957854</v>
      </c>
      <c r="G187" s="47">
        <v>0</v>
      </c>
      <c r="H187" s="47">
        <v>0</v>
      </c>
      <c r="I187" s="47">
        <v>3371.7673982990677</v>
      </c>
      <c r="J187" s="47">
        <v>3371.7673982990677</v>
      </c>
      <c r="K187" s="47">
        <v>0</v>
      </c>
      <c r="L187" s="47">
        <v>0</v>
      </c>
      <c r="M187" s="47">
        <v>125.61284913669391</v>
      </c>
      <c r="N187" s="47">
        <v>125.61284913669391</v>
      </c>
    </row>
    <row r="188" spans="1:14" x14ac:dyDescent="0.15">
      <c r="A188" s="32" t="s">
        <v>676</v>
      </c>
      <c r="B188" s="32" t="s">
        <v>851</v>
      </c>
      <c r="C188" s="32" t="s">
        <v>677</v>
      </c>
      <c r="D188" s="32" t="s">
        <v>645</v>
      </c>
      <c r="E188" s="32" t="s">
        <v>747</v>
      </c>
      <c r="F188" s="67">
        <v>7.8928684723334183E-2</v>
      </c>
      <c r="G188" s="47">
        <v>0</v>
      </c>
      <c r="H188" s="47">
        <v>0</v>
      </c>
      <c r="I188" s="47">
        <v>1036.0179156784845</v>
      </c>
      <c r="J188" s="47">
        <v>1036.0179156784845</v>
      </c>
      <c r="K188" s="47">
        <v>0</v>
      </c>
      <c r="L188" s="47">
        <v>0</v>
      </c>
      <c r="M188" s="47">
        <v>38.596126829710414</v>
      </c>
      <c r="N188" s="47">
        <v>38.596126829710414</v>
      </c>
    </row>
    <row r="189" spans="1:14" x14ac:dyDescent="0.15">
      <c r="A189" s="32" t="s">
        <v>637</v>
      </c>
      <c r="B189" s="32" t="s">
        <v>851</v>
      </c>
      <c r="C189" s="32" t="s">
        <v>638</v>
      </c>
      <c r="D189" s="32" t="s">
        <v>637</v>
      </c>
      <c r="E189" s="32" t="s">
        <v>638</v>
      </c>
      <c r="F189" s="67">
        <v>1</v>
      </c>
      <c r="G189" s="47">
        <v>12362</v>
      </c>
      <c r="H189" s="47">
        <v>1182</v>
      </c>
      <c r="I189" s="47">
        <v>0</v>
      </c>
      <c r="J189" s="47">
        <v>13544</v>
      </c>
      <c r="K189" s="47">
        <v>3951</v>
      </c>
      <c r="L189" s="47">
        <v>15</v>
      </c>
      <c r="M189" s="47">
        <v>0</v>
      </c>
      <c r="N189" s="47">
        <v>3966</v>
      </c>
    </row>
    <row r="190" spans="1:14" x14ac:dyDescent="0.15">
      <c r="A190" s="32" t="s">
        <v>678</v>
      </c>
      <c r="B190" s="32" t="s">
        <v>851</v>
      </c>
      <c r="C190" s="32" t="s">
        <v>749</v>
      </c>
      <c r="D190" s="32" t="s">
        <v>678</v>
      </c>
      <c r="E190" s="32" t="s">
        <v>749</v>
      </c>
      <c r="F190" s="67">
        <v>1</v>
      </c>
      <c r="G190" s="47">
        <v>30362</v>
      </c>
      <c r="H190" s="47">
        <v>1563</v>
      </c>
      <c r="I190" s="47">
        <v>1900</v>
      </c>
      <c r="J190" s="47">
        <v>33825</v>
      </c>
      <c r="K190" s="47">
        <v>12940</v>
      </c>
      <c r="L190" s="47">
        <v>164</v>
      </c>
      <c r="M190" s="47">
        <v>217</v>
      </c>
      <c r="N190" s="47">
        <v>13321</v>
      </c>
    </row>
    <row r="191" spans="1:14" x14ac:dyDescent="0.15">
      <c r="A191" s="32" t="s">
        <v>640</v>
      </c>
      <c r="B191" s="32" t="s">
        <v>851</v>
      </c>
      <c r="C191" s="32" t="s">
        <v>786</v>
      </c>
      <c r="D191" s="32" t="s">
        <v>641</v>
      </c>
      <c r="E191" s="32" t="s">
        <v>642</v>
      </c>
      <c r="F191" s="67">
        <v>1</v>
      </c>
      <c r="G191" s="47">
        <v>0</v>
      </c>
      <c r="H191" s="47">
        <v>0</v>
      </c>
      <c r="I191" s="47">
        <v>5085</v>
      </c>
      <c r="J191" s="47">
        <v>5085</v>
      </c>
      <c r="K191" s="47">
        <v>0</v>
      </c>
      <c r="L191" s="47">
        <v>0</v>
      </c>
      <c r="M191" s="47">
        <v>0</v>
      </c>
      <c r="N191" s="47">
        <v>0</v>
      </c>
    </row>
    <row r="192" spans="1:14" x14ac:dyDescent="0.15">
      <c r="A192" s="32" t="s">
        <v>664</v>
      </c>
      <c r="B192" s="32" t="s">
        <v>851</v>
      </c>
      <c r="C192" s="32" t="s">
        <v>666</v>
      </c>
      <c r="D192" s="32" t="s">
        <v>652</v>
      </c>
      <c r="E192" s="32" t="s">
        <v>744</v>
      </c>
      <c r="F192" s="67">
        <v>1</v>
      </c>
      <c r="G192" s="47">
        <v>0</v>
      </c>
      <c r="H192" s="47">
        <v>0</v>
      </c>
      <c r="I192" s="47">
        <v>2773</v>
      </c>
      <c r="J192" s="47">
        <v>2773</v>
      </c>
      <c r="K192" s="47">
        <v>0</v>
      </c>
      <c r="L192" s="47">
        <v>0</v>
      </c>
      <c r="M192" s="47">
        <v>84</v>
      </c>
      <c r="N192" s="47">
        <v>84</v>
      </c>
    </row>
    <row r="193" spans="1:14" x14ac:dyDescent="0.15">
      <c r="A193" s="105" t="s">
        <v>798</v>
      </c>
      <c r="B193" s="105" t="s">
        <v>851</v>
      </c>
      <c r="C193" s="105" t="s">
        <v>794</v>
      </c>
      <c r="D193" s="105" t="s">
        <v>557</v>
      </c>
      <c r="E193" s="105" t="s">
        <v>558</v>
      </c>
      <c r="F193" s="67">
        <v>0.6</v>
      </c>
      <c r="G193" s="47">
        <v>0</v>
      </c>
      <c r="H193" s="47">
        <v>0</v>
      </c>
      <c r="I193" s="47">
        <v>1086.5999999999999</v>
      </c>
      <c r="J193" s="47">
        <v>1086.5999999999999</v>
      </c>
      <c r="K193" s="47">
        <v>0</v>
      </c>
      <c r="L193" s="47">
        <v>0</v>
      </c>
      <c r="M193" s="47">
        <v>17.399999999999999</v>
      </c>
      <c r="N193" s="47">
        <v>17.399999999999999</v>
      </c>
    </row>
    <row r="194" spans="1:14" x14ac:dyDescent="0.15">
      <c r="A194" s="105" t="s">
        <v>798</v>
      </c>
      <c r="B194" s="105" t="s">
        <v>851</v>
      </c>
      <c r="C194" s="105" t="s">
        <v>794</v>
      </c>
      <c r="D194" s="105" t="s">
        <v>552</v>
      </c>
      <c r="E194" s="105" t="s">
        <v>553</v>
      </c>
      <c r="F194" s="67">
        <v>0.4</v>
      </c>
      <c r="G194" s="47">
        <v>0</v>
      </c>
      <c r="H194" s="47">
        <v>0</v>
      </c>
      <c r="I194" s="47">
        <v>724.40000000000009</v>
      </c>
      <c r="J194" s="47">
        <v>724.40000000000009</v>
      </c>
      <c r="K194" s="47">
        <v>0</v>
      </c>
      <c r="L194" s="47">
        <v>0</v>
      </c>
      <c r="M194" s="47">
        <v>11.600000000000001</v>
      </c>
      <c r="N194" s="47">
        <v>11.600000000000001</v>
      </c>
    </row>
    <row r="195" spans="1:14" x14ac:dyDescent="0.15">
      <c r="A195" s="32" t="s">
        <v>603</v>
      </c>
      <c r="B195" s="32" t="s">
        <v>852</v>
      </c>
      <c r="C195" s="32" t="s">
        <v>604</v>
      </c>
      <c r="D195" s="32" t="s">
        <v>603</v>
      </c>
      <c r="E195" s="32" t="s">
        <v>604</v>
      </c>
      <c r="F195" s="67">
        <v>1</v>
      </c>
      <c r="G195" s="47">
        <v>5255</v>
      </c>
      <c r="H195" s="47">
        <v>0</v>
      </c>
      <c r="I195" s="47">
        <v>4436</v>
      </c>
      <c r="J195" s="47">
        <v>9691</v>
      </c>
      <c r="K195" s="47">
        <v>2070</v>
      </c>
      <c r="L195" s="47">
        <v>0</v>
      </c>
      <c r="M195" s="47">
        <v>6</v>
      </c>
      <c r="N195" s="47">
        <v>2076</v>
      </c>
    </row>
    <row r="196" spans="1:14" x14ac:dyDescent="0.15">
      <c r="A196" s="32" t="s">
        <v>619</v>
      </c>
      <c r="B196" s="32" t="s">
        <v>852</v>
      </c>
      <c r="C196" s="32" t="s">
        <v>620</v>
      </c>
      <c r="D196" s="32" t="s">
        <v>621</v>
      </c>
      <c r="E196" s="32" t="s">
        <v>622</v>
      </c>
      <c r="F196" s="67">
        <v>1</v>
      </c>
      <c r="G196" s="47">
        <v>0</v>
      </c>
      <c r="H196" s="47">
        <v>0</v>
      </c>
      <c r="I196" s="47">
        <v>8345</v>
      </c>
      <c r="J196" s="47">
        <v>8345</v>
      </c>
      <c r="K196" s="47">
        <v>0</v>
      </c>
      <c r="L196" s="47">
        <v>0</v>
      </c>
      <c r="M196" s="47">
        <v>325</v>
      </c>
      <c r="N196" s="47">
        <v>325</v>
      </c>
    </row>
    <row r="197" spans="1:14" x14ac:dyDescent="0.15">
      <c r="A197" s="103" t="s">
        <v>621</v>
      </c>
      <c r="B197" s="103" t="s">
        <v>852</v>
      </c>
      <c r="C197" s="103" t="s">
        <v>622</v>
      </c>
      <c r="D197" s="103" t="s">
        <v>621</v>
      </c>
      <c r="E197" s="103" t="s">
        <v>622</v>
      </c>
      <c r="F197" s="104">
        <v>1</v>
      </c>
      <c r="G197" s="47">
        <v>14773</v>
      </c>
      <c r="H197" s="47">
        <v>0</v>
      </c>
      <c r="I197" s="47">
        <v>0</v>
      </c>
      <c r="J197" s="47">
        <v>14773</v>
      </c>
      <c r="K197" s="47">
        <v>5639</v>
      </c>
      <c r="L197" s="47">
        <v>0</v>
      </c>
      <c r="M197" s="47">
        <v>0</v>
      </c>
      <c r="N197" s="47">
        <v>5639</v>
      </c>
    </row>
    <row r="198" spans="1:14" x14ac:dyDescent="0.15">
      <c r="A198" s="32" t="s">
        <v>552</v>
      </c>
      <c r="B198" s="32" t="s">
        <v>852</v>
      </c>
      <c r="C198" s="32" t="s">
        <v>553</v>
      </c>
      <c r="D198" s="32" t="s">
        <v>552</v>
      </c>
      <c r="E198" s="32" t="s">
        <v>553</v>
      </c>
      <c r="F198" s="67">
        <v>1</v>
      </c>
      <c r="G198" s="47">
        <v>7991</v>
      </c>
      <c r="H198" s="47">
        <v>0</v>
      </c>
      <c r="I198" s="47">
        <v>4602</v>
      </c>
      <c r="J198" s="47">
        <v>12593</v>
      </c>
      <c r="K198" s="47">
        <v>3708</v>
      </c>
      <c r="L198" s="47">
        <v>0</v>
      </c>
      <c r="M198" s="47">
        <v>628</v>
      </c>
      <c r="N198" s="47">
        <v>4336</v>
      </c>
    </row>
    <row r="199" spans="1:14" x14ac:dyDescent="0.15">
      <c r="A199" s="105" t="s">
        <v>596</v>
      </c>
      <c r="B199" s="105" t="s">
        <v>852</v>
      </c>
      <c r="C199" s="105" t="s">
        <v>597</v>
      </c>
      <c r="D199" s="105" t="s">
        <v>600</v>
      </c>
      <c r="E199" s="105" t="s">
        <v>601</v>
      </c>
      <c r="F199" s="67">
        <v>1</v>
      </c>
      <c r="G199" s="47">
        <v>0</v>
      </c>
      <c r="H199" s="47">
        <v>0</v>
      </c>
      <c r="I199" s="47">
        <v>67</v>
      </c>
      <c r="J199" s="47">
        <v>67</v>
      </c>
      <c r="K199" s="47">
        <v>0</v>
      </c>
      <c r="L199" s="47">
        <v>0</v>
      </c>
      <c r="M199" s="47">
        <v>0</v>
      </c>
      <c r="N199" s="47">
        <v>0</v>
      </c>
    </row>
    <row r="200" spans="1:14" x14ac:dyDescent="0.15">
      <c r="A200" s="32" t="s">
        <v>556</v>
      </c>
      <c r="B200" s="32" t="s">
        <v>852</v>
      </c>
      <c r="C200" s="32" t="s">
        <v>555</v>
      </c>
      <c r="D200" s="32" t="s">
        <v>557</v>
      </c>
      <c r="E200" s="32" t="s">
        <v>558</v>
      </c>
      <c r="F200" s="67">
        <v>1</v>
      </c>
      <c r="G200" s="47">
        <v>0</v>
      </c>
      <c r="H200" s="47">
        <v>0</v>
      </c>
      <c r="I200" s="47">
        <v>1382</v>
      </c>
      <c r="J200" s="47">
        <v>1382</v>
      </c>
      <c r="K200" s="47">
        <v>0</v>
      </c>
      <c r="L200" s="47">
        <v>0</v>
      </c>
      <c r="M200" s="47">
        <v>4</v>
      </c>
      <c r="N200" s="47">
        <v>4</v>
      </c>
    </row>
    <row r="201" spans="1:14" x14ac:dyDescent="0.15">
      <c r="A201" s="32" t="s">
        <v>588</v>
      </c>
      <c r="B201" s="32" t="s">
        <v>852</v>
      </c>
      <c r="C201" s="32" t="s">
        <v>589</v>
      </c>
      <c r="D201" s="32" t="s">
        <v>588</v>
      </c>
      <c r="E201" s="32" t="s">
        <v>589</v>
      </c>
      <c r="F201" s="67">
        <v>1</v>
      </c>
      <c r="G201" s="47">
        <v>7435</v>
      </c>
      <c r="H201" s="47">
        <v>0</v>
      </c>
      <c r="I201" s="47">
        <v>12254</v>
      </c>
      <c r="J201" s="47">
        <v>19689</v>
      </c>
      <c r="K201" s="47">
        <v>3928</v>
      </c>
      <c r="L201" s="47">
        <v>0</v>
      </c>
      <c r="M201" s="47">
        <v>902</v>
      </c>
      <c r="N201" s="47">
        <v>4830</v>
      </c>
    </row>
    <row r="202" spans="1:14" x14ac:dyDescent="0.15">
      <c r="A202" s="105" t="s">
        <v>600</v>
      </c>
      <c r="B202" s="105" t="s">
        <v>852</v>
      </c>
      <c r="C202" s="105" t="s">
        <v>601</v>
      </c>
      <c r="D202" s="105" t="s">
        <v>600</v>
      </c>
      <c r="E202" s="105" t="s">
        <v>601</v>
      </c>
      <c r="F202" s="67">
        <v>1</v>
      </c>
      <c r="G202" s="47">
        <v>14759</v>
      </c>
      <c r="H202" s="47">
        <v>0</v>
      </c>
      <c r="I202" s="47">
        <v>5049</v>
      </c>
      <c r="J202" s="47">
        <v>19808</v>
      </c>
      <c r="K202" s="47">
        <v>7344</v>
      </c>
      <c r="L202" s="47">
        <v>0</v>
      </c>
      <c r="M202" s="47">
        <v>14</v>
      </c>
      <c r="N202" s="47">
        <v>7358</v>
      </c>
    </row>
    <row r="203" spans="1:14" x14ac:dyDescent="0.15">
      <c r="A203" s="105" t="s">
        <v>557</v>
      </c>
      <c r="B203" s="105" t="s">
        <v>852</v>
      </c>
      <c r="C203" s="105" t="s">
        <v>558</v>
      </c>
      <c r="D203" s="105" t="s">
        <v>557</v>
      </c>
      <c r="E203" s="105" t="s">
        <v>558</v>
      </c>
      <c r="F203" s="67">
        <v>1</v>
      </c>
      <c r="G203" s="47">
        <v>9425</v>
      </c>
      <c r="H203" s="47">
        <v>0</v>
      </c>
      <c r="I203" s="47">
        <v>0</v>
      </c>
      <c r="J203" s="47">
        <v>9425</v>
      </c>
      <c r="K203" s="47">
        <v>4079</v>
      </c>
      <c r="L203" s="47">
        <v>0</v>
      </c>
      <c r="M203" s="47">
        <v>0</v>
      </c>
      <c r="N203" s="47">
        <v>4079</v>
      </c>
    </row>
    <row r="204" spans="1:14" x14ac:dyDescent="0.15">
      <c r="A204" s="105" t="s">
        <v>559</v>
      </c>
      <c r="B204" s="105" t="s">
        <v>852</v>
      </c>
      <c r="C204" s="105" t="s">
        <v>560</v>
      </c>
      <c r="D204" s="105" t="s">
        <v>559</v>
      </c>
      <c r="E204" s="105" t="s">
        <v>560</v>
      </c>
      <c r="F204" s="67">
        <v>1</v>
      </c>
      <c r="G204" s="47">
        <v>5083</v>
      </c>
      <c r="H204" s="47">
        <v>339</v>
      </c>
      <c r="I204" s="47">
        <v>2102</v>
      </c>
      <c r="J204" s="47">
        <v>7524</v>
      </c>
      <c r="K204" s="47">
        <v>2521</v>
      </c>
      <c r="L204" s="47">
        <v>0</v>
      </c>
      <c r="M204" s="47">
        <v>0</v>
      </c>
      <c r="N204" s="47">
        <v>2521</v>
      </c>
    </row>
    <row r="205" spans="1:14" x14ac:dyDescent="0.15">
      <c r="A205" s="105" t="s">
        <v>565</v>
      </c>
      <c r="B205" s="105" t="s">
        <v>852</v>
      </c>
      <c r="C205" s="105" t="s">
        <v>566</v>
      </c>
      <c r="D205" s="105" t="s">
        <v>569</v>
      </c>
      <c r="E205" s="105" t="s">
        <v>846</v>
      </c>
      <c r="F205" s="67">
        <v>1</v>
      </c>
      <c r="G205" s="47">
        <v>0</v>
      </c>
      <c r="H205" s="47">
        <v>0</v>
      </c>
      <c r="I205" s="47">
        <v>9915</v>
      </c>
      <c r="J205" s="47">
        <v>9915</v>
      </c>
      <c r="K205" s="47">
        <v>0</v>
      </c>
      <c r="L205" s="47">
        <v>0</v>
      </c>
      <c r="M205" s="47">
        <v>555</v>
      </c>
      <c r="N205" s="47">
        <v>555</v>
      </c>
    </row>
    <row r="206" spans="1:14" x14ac:dyDescent="0.15">
      <c r="A206" s="105" t="s">
        <v>648</v>
      </c>
      <c r="B206" s="105" t="s">
        <v>852</v>
      </c>
      <c r="C206" s="105" t="s">
        <v>649</v>
      </c>
      <c r="D206" s="105" t="s">
        <v>648</v>
      </c>
      <c r="E206" s="105" t="s">
        <v>649</v>
      </c>
      <c r="F206" s="67">
        <v>1</v>
      </c>
      <c r="G206" s="47">
        <v>12302</v>
      </c>
      <c r="H206" s="47">
        <v>0</v>
      </c>
      <c r="I206" s="47">
        <v>9553</v>
      </c>
      <c r="J206" s="47">
        <v>21855</v>
      </c>
      <c r="K206" s="47">
        <v>5855</v>
      </c>
      <c r="L206" s="47">
        <v>0</v>
      </c>
      <c r="M206" s="47">
        <v>324</v>
      </c>
      <c r="N206" s="47">
        <v>6179</v>
      </c>
    </row>
    <row r="207" spans="1:14" x14ac:dyDescent="0.15">
      <c r="A207" s="105" t="s">
        <v>607</v>
      </c>
      <c r="B207" s="105" t="s">
        <v>852</v>
      </c>
      <c r="C207" s="105" t="s">
        <v>608</v>
      </c>
      <c r="D207" s="105" t="s">
        <v>600</v>
      </c>
      <c r="E207" s="105" t="s">
        <v>601</v>
      </c>
      <c r="F207" s="67">
        <v>1</v>
      </c>
      <c r="G207" s="47">
        <v>0</v>
      </c>
      <c r="H207" s="47">
        <v>0</v>
      </c>
      <c r="I207" s="47">
        <v>1826</v>
      </c>
      <c r="J207" s="47">
        <v>1826</v>
      </c>
      <c r="K207" s="47">
        <v>0</v>
      </c>
      <c r="L207" s="47">
        <v>0</v>
      </c>
      <c r="M207" s="47">
        <v>113</v>
      </c>
      <c r="N207" s="47">
        <v>113</v>
      </c>
    </row>
    <row r="208" spans="1:14" x14ac:dyDescent="0.15">
      <c r="A208" s="105" t="s">
        <v>623</v>
      </c>
      <c r="B208" s="105" t="s">
        <v>852</v>
      </c>
      <c r="C208" s="105" t="s">
        <v>624</v>
      </c>
      <c r="D208" s="105" t="s">
        <v>621</v>
      </c>
      <c r="E208" s="105" t="s">
        <v>622</v>
      </c>
      <c r="F208" s="67">
        <v>1</v>
      </c>
      <c r="G208" s="47">
        <v>0</v>
      </c>
      <c r="H208" s="47">
        <v>0</v>
      </c>
      <c r="I208" s="47">
        <v>702</v>
      </c>
      <c r="J208" s="47">
        <v>702</v>
      </c>
      <c r="K208" s="47">
        <v>0</v>
      </c>
      <c r="L208" s="47">
        <v>0</v>
      </c>
      <c r="M208" s="47">
        <v>0</v>
      </c>
      <c r="N208" s="47">
        <v>0</v>
      </c>
    </row>
    <row r="209" spans="1:14" x14ac:dyDescent="0.15">
      <c r="A209" s="105" t="s">
        <v>602</v>
      </c>
      <c r="B209" s="105" t="s">
        <v>852</v>
      </c>
      <c r="C209" s="105" t="s">
        <v>750</v>
      </c>
      <c r="D209" s="105" t="s">
        <v>602</v>
      </c>
      <c r="E209" s="105" t="s">
        <v>750</v>
      </c>
      <c r="F209" s="67">
        <v>1</v>
      </c>
      <c r="G209" s="47">
        <v>7380</v>
      </c>
      <c r="H209" s="47">
        <v>0</v>
      </c>
      <c r="I209" s="47">
        <v>3743</v>
      </c>
      <c r="J209" s="47">
        <v>11123</v>
      </c>
      <c r="K209" s="47">
        <v>2983</v>
      </c>
      <c r="L209" s="47">
        <v>0</v>
      </c>
      <c r="M209" s="47">
        <v>190</v>
      </c>
      <c r="N209" s="47">
        <v>3173</v>
      </c>
    </row>
    <row r="210" spans="1:14" x14ac:dyDescent="0.15">
      <c r="A210" s="70" t="s">
        <v>799</v>
      </c>
      <c r="B210" s="70" t="s">
        <v>852</v>
      </c>
      <c r="C210" s="70" t="s">
        <v>795</v>
      </c>
      <c r="D210" s="70" t="s">
        <v>557</v>
      </c>
      <c r="E210" s="70" t="s">
        <v>558</v>
      </c>
      <c r="F210" s="71">
        <v>0.6</v>
      </c>
      <c r="G210" s="47">
        <v>0</v>
      </c>
      <c r="H210" s="47">
        <v>0</v>
      </c>
      <c r="I210" s="47">
        <v>974.4</v>
      </c>
      <c r="J210" s="47">
        <v>974.4</v>
      </c>
      <c r="K210" s="47">
        <v>0</v>
      </c>
      <c r="L210" s="47">
        <v>0</v>
      </c>
      <c r="M210" s="47">
        <v>12</v>
      </c>
      <c r="N210" s="47">
        <v>12</v>
      </c>
    </row>
    <row r="211" spans="1:14" x14ac:dyDescent="0.15">
      <c r="A211" s="70" t="s">
        <v>799</v>
      </c>
      <c r="B211" s="70" t="s">
        <v>852</v>
      </c>
      <c r="C211" s="70" t="s">
        <v>795</v>
      </c>
      <c r="D211" s="70" t="s">
        <v>552</v>
      </c>
      <c r="E211" s="70" t="s">
        <v>553</v>
      </c>
      <c r="F211" s="71">
        <v>0.4</v>
      </c>
      <c r="G211" s="47">
        <v>0</v>
      </c>
      <c r="H211" s="47">
        <v>0</v>
      </c>
      <c r="I211" s="47">
        <v>649.6</v>
      </c>
      <c r="J211" s="47">
        <v>649.6</v>
      </c>
      <c r="K211" s="47">
        <v>0</v>
      </c>
      <c r="L211" s="47">
        <v>0</v>
      </c>
      <c r="M211" s="47">
        <v>8</v>
      </c>
      <c r="N211" s="47">
        <v>8</v>
      </c>
    </row>
    <row r="212" spans="1:14" x14ac:dyDescent="0.15">
      <c r="A212" s="105" t="s">
        <v>569</v>
      </c>
      <c r="B212" s="105" t="s">
        <v>852</v>
      </c>
      <c r="C212" s="105" t="s">
        <v>846</v>
      </c>
      <c r="D212" s="105" t="s">
        <v>569</v>
      </c>
      <c r="E212" s="105" t="s">
        <v>846</v>
      </c>
      <c r="F212" s="67">
        <v>1</v>
      </c>
      <c r="G212" s="47">
        <v>26019</v>
      </c>
      <c r="H212" s="47">
        <v>2648</v>
      </c>
      <c r="I212" s="47">
        <v>0</v>
      </c>
      <c r="J212" s="47">
        <v>28667</v>
      </c>
      <c r="K212" s="47">
        <v>8388</v>
      </c>
      <c r="L212" s="47">
        <v>306</v>
      </c>
      <c r="M212" s="47">
        <v>0</v>
      </c>
      <c r="N212" s="47">
        <v>8694</v>
      </c>
    </row>
    <row r="213" spans="1:14" x14ac:dyDescent="0.15">
      <c r="A213" s="105" t="s">
        <v>609</v>
      </c>
      <c r="B213" s="105" t="s">
        <v>852</v>
      </c>
      <c r="C213" s="105" t="s">
        <v>610</v>
      </c>
      <c r="D213" s="105" t="s">
        <v>609</v>
      </c>
      <c r="E213" s="105" t="s">
        <v>610</v>
      </c>
      <c r="F213" s="67">
        <v>1</v>
      </c>
      <c r="G213" s="47">
        <v>16401</v>
      </c>
      <c r="H213" s="47">
        <v>0</v>
      </c>
      <c r="I213" s="47">
        <v>4083</v>
      </c>
      <c r="J213" s="47">
        <v>20484</v>
      </c>
      <c r="K213" s="47">
        <v>5767</v>
      </c>
      <c r="L213" s="47">
        <v>0</v>
      </c>
      <c r="M213" s="47">
        <v>0</v>
      </c>
      <c r="N213" s="47">
        <v>5767</v>
      </c>
    </row>
    <row r="214" spans="1:14" x14ac:dyDescent="0.15">
      <c r="A214" s="112" t="s">
        <v>598</v>
      </c>
      <c r="B214" s="112" t="s">
        <v>852</v>
      </c>
      <c r="C214" s="112" t="s">
        <v>599</v>
      </c>
      <c r="D214" s="112" t="s">
        <v>598</v>
      </c>
      <c r="E214" s="112" t="s">
        <v>599</v>
      </c>
      <c r="F214" s="113">
        <v>1</v>
      </c>
      <c r="G214" s="47">
        <v>9089</v>
      </c>
      <c r="H214" s="47">
        <v>74</v>
      </c>
      <c r="I214" s="47">
        <v>8290</v>
      </c>
      <c r="J214" s="47">
        <v>17453</v>
      </c>
      <c r="K214" s="47">
        <v>5796</v>
      </c>
      <c r="L214" s="47">
        <v>6</v>
      </c>
      <c r="M214" s="47">
        <v>201</v>
      </c>
      <c r="N214" s="47">
        <v>6003</v>
      </c>
    </row>
    <row r="215" spans="1:14" x14ac:dyDescent="0.15">
      <c r="A215" s="32"/>
      <c r="B215" s="32"/>
      <c r="C215" s="32"/>
      <c r="D215" s="32"/>
      <c r="E215" s="32"/>
      <c r="F215" s="67"/>
      <c r="G215" s="47">
        <v>0</v>
      </c>
      <c r="H215" s="47">
        <v>0</v>
      </c>
      <c r="I215" s="47">
        <v>0</v>
      </c>
      <c r="J215" s="47">
        <v>0</v>
      </c>
      <c r="K215" s="47">
        <v>0</v>
      </c>
      <c r="L215" s="47">
        <v>0</v>
      </c>
      <c r="M215" s="47">
        <v>0</v>
      </c>
      <c r="N215" s="47">
        <v>0</v>
      </c>
    </row>
    <row r="216" spans="1:14" x14ac:dyDescent="0.15">
      <c r="A216" s="32"/>
      <c r="B216" s="32"/>
      <c r="C216" s="32"/>
      <c r="D216" s="32"/>
      <c r="E216" s="32"/>
      <c r="F216" s="67"/>
      <c r="G216" s="47">
        <v>0</v>
      </c>
      <c r="H216" s="47">
        <v>0</v>
      </c>
      <c r="I216" s="47">
        <v>0</v>
      </c>
      <c r="J216" s="47">
        <v>0</v>
      </c>
      <c r="K216" s="47">
        <v>0</v>
      </c>
      <c r="L216" s="47">
        <v>0</v>
      </c>
      <c r="M216" s="47">
        <v>0</v>
      </c>
      <c r="N216" s="47">
        <v>0</v>
      </c>
    </row>
    <row r="217" spans="1:14" x14ac:dyDescent="0.15">
      <c r="A217" s="32"/>
      <c r="B217" s="32"/>
      <c r="C217" s="32"/>
      <c r="D217" s="32"/>
      <c r="E217" s="32"/>
      <c r="F217" s="67"/>
      <c r="G217" s="47">
        <v>0</v>
      </c>
      <c r="H217" s="47">
        <v>0</v>
      </c>
      <c r="I217" s="47">
        <v>0</v>
      </c>
      <c r="J217" s="47">
        <v>0</v>
      </c>
      <c r="K217" s="47">
        <v>0</v>
      </c>
      <c r="L217" s="47">
        <v>0</v>
      </c>
      <c r="M217" s="47">
        <v>0</v>
      </c>
      <c r="N217" s="47">
        <v>0</v>
      </c>
    </row>
    <row r="218" spans="1:14" x14ac:dyDescent="0.15">
      <c r="A218" s="32"/>
      <c r="B218" s="32"/>
      <c r="C218" s="32"/>
      <c r="D218" s="32"/>
      <c r="E218" s="32"/>
      <c r="F218" s="67"/>
      <c r="G218" s="47">
        <v>0</v>
      </c>
      <c r="H218" s="47">
        <v>0</v>
      </c>
      <c r="I218" s="47">
        <v>0</v>
      </c>
      <c r="J218" s="47">
        <v>0</v>
      </c>
      <c r="K218" s="47">
        <v>0</v>
      </c>
      <c r="L218" s="47">
        <v>0</v>
      </c>
      <c r="M218" s="47">
        <v>0</v>
      </c>
      <c r="N218" s="47">
        <v>0</v>
      </c>
    </row>
    <row r="219" spans="1:14" x14ac:dyDescent="0.15">
      <c r="A219" s="32"/>
      <c r="B219" s="32"/>
      <c r="C219" s="32"/>
      <c r="D219" s="32"/>
      <c r="E219" s="32"/>
      <c r="F219" s="67"/>
      <c r="G219" s="47">
        <v>0</v>
      </c>
      <c r="H219" s="47">
        <v>0</v>
      </c>
      <c r="I219" s="47">
        <v>0</v>
      </c>
      <c r="J219" s="47">
        <v>0</v>
      </c>
      <c r="K219" s="47">
        <v>0</v>
      </c>
      <c r="L219" s="47">
        <v>0</v>
      </c>
      <c r="M219" s="47">
        <v>0</v>
      </c>
      <c r="N219" s="47">
        <v>0</v>
      </c>
    </row>
    <row r="220" spans="1:14" x14ac:dyDescent="0.15">
      <c r="A220" s="32"/>
      <c r="B220" s="32"/>
      <c r="C220" s="32"/>
      <c r="D220" s="32"/>
      <c r="E220" s="32"/>
      <c r="F220" s="67"/>
      <c r="G220" s="47">
        <v>0</v>
      </c>
      <c r="H220" s="47">
        <v>0</v>
      </c>
      <c r="I220" s="47">
        <v>0</v>
      </c>
      <c r="J220" s="47">
        <v>0</v>
      </c>
      <c r="K220" s="47">
        <v>0</v>
      </c>
      <c r="L220" s="47">
        <v>0</v>
      </c>
      <c r="M220" s="47">
        <v>0</v>
      </c>
      <c r="N220" s="47">
        <v>0</v>
      </c>
    </row>
    <row r="221" spans="1:14" x14ac:dyDescent="0.15">
      <c r="A221" s="32"/>
      <c r="B221" s="32"/>
      <c r="C221" s="32"/>
      <c r="D221" s="32"/>
      <c r="E221" s="32"/>
      <c r="F221" s="67"/>
      <c r="G221" s="47">
        <v>0</v>
      </c>
      <c r="H221" s="47">
        <v>0</v>
      </c>
      <c r="I221" s="47">
        <v>0</v>
      </c>
      <c r="J221" s="47">
        <v>0</v>
      </c>
      <c r="K221" s="47">
        <v>0</v>
      </c>
      <c r="L221" s="47">
        <v>0</v>
      </c>
      <c r="M221" s="47">
        <v>0</v>
      </c>
      <c r="N221" s="47">
        <v>0</v>
      </c>
    </row>
    <row r="222" spans="1:14" x14ac:dyDescent="0.15">
      <c r="A222" s="32"/>
      <c r="B222" s="32"/>
      <c r="C222" s="32"/>
      <c r="D222" s="32"/>
      <c r="E222" s="32"/>
      <c r="F222" s="67"/>
      <c r="G222" s="47">
        <v>0</v>
      </c>
      <c r="H222" s="47">
        <v>0</v>
      </c>
      <c r="I222" s="47">
        <v>0</v>
      </c>
      <c r="J222" s="47">
        <v>0</v>
      </c>
      <c r="K222" s="47">
        <v>0</v>
      </c>
      <c r="L222" s="47">
        <v>0</v>
      </c>
      <c r="M222" s="47">
        <v>0</v>
      </c>
      <c r="N222" s="47">
        <v>0</v>
      </c>
    </row>
    <row r="223" spans="1:14" x14ac:dyDescent="0.15">
      <c r="A223" s="32"/>
      <c r="B223" s="32"/>
      <c r="C223" s="32"/>
      <c r="D223" s="32"/>
      <c r="E223" s="32"/>
      <c r="F223" s="67"/>
      <c r="G223" s="47">
        <v>0</v>
      </c>
      <c r="H223" s="47">
        <v>0</v>
      </c>
      <c r="I223" s="47">
        <v>0</v>
      </c>
      <c r="J223" s="47">
        <v>0</v>
      </c>
      <c r="K223" s="47">
        <v>0</v>
      </c>
      <c r="L223" s="47">
        <v>0</v>
      </c>
      <c r="M223" s="47">
        <v>0</v>
      </c>
      <c r="N223" s="47">
        <v>0</v>
      </c>
    </row>
    <row r="224" spans="1:14" x14ac:dyDescent="0.15">
      <c r="A224" s="32"/>
      <c r="B224" s="32"/>
      <c r="C224" s="32"/>
      <c r="D224" s="32"/>
      <c r="E224" s="32"/>
      <c r="F224" s="67"/>
      <c r="G224" s="47">
        <v>0</v>
      </c>
      <c r="H224" s="47">
        <v>0</v>
      </c>
      <c r="I224" s="47">
        <v>0</v>
      </c>
      <c r="J224" s="47">
        <v>0</v>
      </c>
      <c r="K224" s="47">
        <v>0</v>
      </c>
      <c r="L224" s="47">
        <v>0</v>
      </c>
      <c r="M224" s="47">
        <v>0</v>
      </c>
      <c r="N224" s="47">
        <v>0</v>
      </c>
    </row>
    <row r="225" spans="1:14" x14ac:dyDescent="0.15">
      <c r="A225" s="32"/>
      <c r="B225" s="32"/>
      <c r="C225" s="32"/>
      <c r="D225" s="32"/>
      <c r="E225" s="32"/>
      <c r="F225" s="67"/>
      <c r="G225" s="47">
        <v>0</v>
      </c>
      <c r="H225" s="47">
        <v>0</v>
      </c>
      <c r="I225" s="47">
        <v>0</v>
      </c>
      <c r="J225" s="47">
        <v>0</v>
      </c>
      <c r="K225" s="47">
        <v>0</v>
      </c>
      <c r="L225" s="47">
        <v>0</v>
      </c>
      <c r="M225" s="47">
        <v>0</v>
      </c>
      <c r="N225" s="47">
        <v>0</v>
      </c>
    </row>
    <row r="226" spans="1:14" x14ac:dyDescent="0.15">
      <c r="A226" s="32"/>
      <c r="B226" s="32"/>
      <c r="C226" s="32"/>
      <c r="D226" s="32"/>
      <c r="E226" s="32"/>
      <c r="F226" s="67"/>
      <c r="G226" s="47">
        <v>0</v>
      </c>
      <c r="H226" s="47">
        <v>0</v>
      </c>
      <c r="I226" s="47">
        <v>0</v>
      </c>
      <c r="J226" s="47">
        <v>0</v>
      </c>
      <c r="K226" s="47">
        <v>0</v>
      </c>
      <c r="L226" s="47">
        <v>0</v>
      </c>
      <c r="M226" s="47">
        <v>0</v>
      </c>
      <c r="N226" s="47">
        <v>0</v>
      </c>
    </row>
    <row r="227" spans="1:14" x14ac:dyDescent="0.15">
      <c r="A227" s="32"/>
      <c r="B227" s="32"/>
      <c r="C227" s="32"/>
      <c r="D227" s="32"/>
      <c r="E227" s="32"/>
      <c r="F227" s="67"/>
      <c r="G227" s="47">
        <v>0</v>
      </c>
      <c r="H227" s="47">
        <v>0</v>
      </c>
      <c r="I227" s="47">
        <v>0</v>
      </c>
      <c r="J227" s="47">
        <v>0</v>
      </c>
      <c r="K227" s="47">
        <v>0</v>
      </c>
      <c r="L227" s="47">
        <v>0</v>
      </c>
      <c r="M227" s="47">
        <v>0</v>
      </c>
      <c r="N227" s="47">
        <v>0</v>
      </c>
    </row>
    <row r="228" spans="1:14" x14ac:dyDescent="0.15">
      <c r="A228" s="32"/>
      <c r="B228" s="32"/>
      <c r="C228" s="32"/>
      <c r="D228" s="32"/>
      <c r="E228" s="32"/>
      <c r="F228" s="67"/>
      <c r="G228" s="47">
        <v>0</v>
      </c>
      <c r="H228" s="47">
        <v>0</v>
      </c>
      <c r="I228" s="47">
        <v>0</v>
      </c>
      <c r="J228" s="47">
        <v>0</v>
      </c>
      <c r="K228" s="47">
        <v>0</v>
      </c>
      <c r="L228" s="47">
        <v>0</v>
      </c>
      <c r="M228" s="47">
        <v>0</v>
      </c>
      <c r="N228" s="47">
        <v>0</v>
      </c>
    </row>
    <row r="229" spans="1:14" x14ac:dyDescent="0.15">
      <c r="A229" s="32"/>
      <c r="B229" s="32"/>
      <c r="C229" s="32"/>
      <c r="D229" s="32"/>
      <c r="E229" s="32"/>
      <c r="F229" s="67"/>
      <c r="G229" s="47">
        <v>0</v>
      </c>
      <c r="H229" s="47">
        <v>0</v>
      </c>
      <c r="I229" s="47">
        <v>0</v>
      </c>
      <c r="J229" s="47">
        <v>0</v>
      </c>
      <c r="K229" s="47">
        <v>0</v>
      </c>
      <c r="L229" s="47">
        <v>0</v>
      </c>
      <c r="M229" s="47">
        <v>0</v>
      </c>
      <c r="N229" s="47">
        <v>0</v>
      </c>
    </row>
    <row r="230" spans="1:14" x14ac:dyDescent="0.15">
      <c r="A230" s="32"/>
      <c r="B230" s="32"/>
      <c r="C230" s="32"/>
      <c r="D230" s="32"/>
      <c r="E230" s="32"/>
      <c r="F230" s="67"/>
      <c r="G230" s="47">
        <v>0</v>
      </c>
      <c r="H230" s="47">
        <v>0</v>
      </c>
      <c r="I230" s="47">
        <v>0</v>
      </c>
      <c r="J230" s="47">
        <v>0</v>
      </c>
      <c r="K230" s="47">
        <v>0</v>
      </c>
      <c r="L230" s="47">
        <v>0</v>
      </c>
      <c r="M230" s="47">
        <v>0</v>
      </c>
      <c r="N230" s="47">
        <v>0</v>
      </c>
    </row>
    <row r="231" spans="1:14" x14ac:dyDescent="0.15">
      <c r="A231" s="34"/>
      <c r="B231" s="34"/>
      <c r="C231" s="34"/>
      <c r="D231" s="34"/>
      <c r="E231" s="34"/>
      <c r="F231" s="68"/>
      <c r="G231" s="47">
        <v>0</v>
      </c>
      <c r="H231" s="47">
        <v>0</v>
      </c>
      <c r="I231" s="47">
        <v>0</v>
      </c>
      <c r="J231" s="47">
        <v>0</v>
      </c>
      <c r="K231" s="47">
        <v>0</v>
      </c>
      <c r="L231" s="47">
        <v>0</v>
      </c>
      <c r="M231" s="47">
        <v>0</v>
      </c>
      <c r="N231" s="47">
        <v>0</v>
      </c>
    </row>
    <row r="232" spans="1:14" x14ac:dyDescent="0.15">
      <c r="A232" s="32"/>
      <c r="B232" s="32"/>
      <c r="C232" s="32"/>
      <c r="D232" s="32"/>
      <c r="E232" s="32"/>
      <c r="F232" s="59"/>
      <c r="G232" s="47">
        <v>0</v>
      </c>
      <c r="H232" s="47">
        <v>0</v>
      </c>
      <c r="I232" s="47">
        <v>0</v>
      </c>
      <c r="J232" s="47">
        <v>0</v>
      </c>
      <c r="K232" s="47">
        <v>0</v>
      </c>
      <c r="L232" s="47">
        <v>0</v>
      </c>
      <c r="M232" s="47">
        <v>0</v>
      </c>
      <c r="N232" s="47">
        <v>0</v>
      </c>
    </row>
    <row r="233" spans="1:14" x14ac:dyDescent="0.15">
      <c r="A233" s="32"/>
      <c r="B233" s="32"/>
      <c r="C233" s="32"/>
      <c r="D233" s="32"/>
      <c r="E233" s="32"/>
      <c r="F233" s="59"/>
      <c r="G233" s="47">
        <v>0</v>
      </c>
      <c r="H233" s="47">
        <v>0</v>
      </c>
      <c r="I233" s="47">
        <v>0</v>
      </c>
      <c r="J233" s="47">
        <v>0</v>
      </c>
      <c r="K233" s="47">
        <v>0</v>
      </c>
      <c r="L233" s="47">
        <v>0</v>
      </c>
      <c r="M233" s="47">
        <v>0</v>
      </c>
      <c r="N233" s="47">
        <v>0</v>
      </c>
    </row>
    <row r="234" spans="1:14" x14ac:dyDescent="0.15">
      <c r="A234" s="32"/>
      <c r="B234" s="32"/>
      <c r="C234" s="32"/>
      <c r="D234" s="32"/>
      <c r="E234" s="32"/>
      <c r="F234" s="59"/>
      <c r="G234" s="47">
        <v>0</v>
      </c>
      <c r="H234" s="47">
        <v>0</v>
      </c>
      <c r="I234" s="47">
        <v>0</v>
      </c>
      <c r="J234" s="47">
        <v>0</v>
      </c>
      <c r="K234" s="47">
        <v>0</v>
      </c>
      <c r="L234" s="47">
        <v>0</v>
      </c>
      <c r="M234" s="47">
        <v>0</v>
      </c>
      <c r="N234" s="47">
        <v>0</v>
      </c>
    </row>
    <row r="235" spans="1:14" x14ac:dyDescent="0.15">
      <c r="A235" s="32"/>
      <c r="B235" s="32"/>
      <c r="C235" s="32"/>
      <c r="D235" s="32"/>
      <c r="E235" s="32"/>
      <c r="F235" s="59"/>
      <c r="G235" s="47">
        <v>0</v>
      </c>
      <c r="H235" s="47">
        <v>0</v>
      </c>
      <c r="I235" s="47">
        <v>0</v>
      </c>
      <c r="J235" s="47">
        <v>0</v>
      </c>
      <c r="K235" s="47">
        <v>0</v>
      </c>
      <c r="L235" s="47">
        <v>0</v>
      </c>
      <c r="M235" s="47">
        <v>0</v>
      </c>
      <c r="N235" s="47">
        <v>0</v>
      </c>
    </row>
    <row r="236" spans="1:14" x14ac:dyDescent="0.15">
      <c r="A236" s="32"/>
      <c r="B236" s="32"/>
      <c r="C236" s="32"/>
      <c r="D236" s="32"/>
      <c r="E236" s="32"/>
      <c r="F236" s="59"/>
      <c r="G236" s="47">
        <v>0</v>
      </c>
      <c r="H236" s="47">
        <v>0</v>
      </c>
      <c r="I236" s="47">
        <v>0</v>
      </c>
      <c r="J236" s="47">
        <v>0</v>
      </c>
      <c r="K236" s="47">
        <v>0</v>
      </c>
      <c r="L236" s="47">
        <v>0</v>
      </c>
      <c r="M236" s="47">
        <v>0</v>
      </c>
      <c r="N236" s="47">
        <v>0</v>
      </c>
    </row>
    <row r="237" spans="1:14" x14ac:dyDescent="0.15">
      <c r="A237" s="32"/>
      <c r="B237" s="32"/>
      <c r="C237" s="32"/>
      <c r="D237" s="32"/>
      <c r="E237" s="32"/>
      <c r="F237" s="59"/>
      <c r="G237" s="47">
        <v>0</v>
      </c>
      <c r="H237" s="47">
        <v>0</v>
      </c>
      <c r="I237" s="47">
        <v>0</v>
      </c>
      <c r="J237" s="47">
        <v>0</v>
      </c>
      <c r="K237" s="47">
        <v>0</v>
      </c>
      <c r="L237" s="47">
        <v>0</v>
      </c>
      <c r="M237" s="47">
        <v>0</v>
      </c>
      <c r="N237" s="47">
        <v>0</v>
      </c>
    </row>
    <row r="238" spans="1:14" x14ac:dyDescent="0.15">
      <c r="A238" s="32"/>
      <c r="B238" s="32"/>
      <c r="C238" s="32"/>
      <c r="D238" s="32"/>
      <c r="E238" s="32"/>
      <c r="F238" s="59"/>
      <c r="G238" s="47">
        <v>0</v>
      </c>
      <c r="H238" s="47">
        <v>0</v>
      </c>
      <c r="I238" s="47">
        <v>0</v>
      </c>
      <c r="J238" s="47">
        <v>0</v>
      </c>
      <c r="K238" s="47">
        <v>0</v>
      </c>
      <c r="L238" s="47">
        <v>0</v>
      </c>
      <c r="M238" s="47">
        <v>0</v>
      </c>
      <c r="N238" s="47">
        <v>0</v>
      </c>
    </row>
    <row r="239" spans="1:14" x14ac:dyDescent="0.15">
      <c r="A239" s="32"/>
      <c r="B239" s="32"/>
      <c r="C239" s="32"/>
      <c r="D239" s="32"/>
      <c r="E239" s="32"/>
      <c r="F239" s="59"/>
      <c r="G239" s="47">
        <v>0</v>
      </c>
      <c r="H239" s="47">
        <v>0</v>
      </c>
      <c r="I239" s="47">
        <v>0</v>
      </c>
      <c r="J239" s="47">
        <v>0</v>
      </c>
      <c r="K239" s="47">
        <v>0</v>
      </c>
      <c r="L239" s="47">
        <v>0</v>
      </c>
      <c r="M239" s="47">
        <v>0</v>
      </c>
      <c r="N239" s="47">
        <v>0</v>
      </c>
    </row>
    <row r="240" spans="1:14" x14ac:dyDescent="0.15">
      <c r="A240" s="32"/>
      <c r="B240" s="32"/>
      <c r="C240" s="32"/>
      <c r="D240" s="32"/>
      <c r="E240" s="32"/>
      <c r="F240" s="59"/>
      <c r="G240" s="47">
        <v>0</v>
      </c>
      <c r="H240" s="47">
        <v>0</v>
      </c>
      <c r="I240" s="47">
        <v>0</v>
      </c>
      <c r="J240" s="47">
        <v>0</v>
      </c>
      <c r="K240" s="47">
        <v>0</v>
      </c>
      <c r="L240" s="47">
        <v>0</v>
      </c>
      <c r="M240" s="47">
        <v>0</v>
      </c>
      <c r="N240" s="47">
        <v>0</v>
      </c>
    </row>
    <row r="241" spans="1:14" x14ac:dyDescent="0.15">
      <c r="A241" s="34"/>
      <c r="B241" s="34"/>
      <c r="C241" s="34"/>
      <c r="D241" s="34"/>
      <c r="E241" s="34"/>
      <c r="F241" s="60"/>
      <c r="G241" s="47">
        <v>0</v>
      </c>
      <c r="H241" s="47">
        <v>0</v>
      </c>
      <c r="I241" s="47">
        <v>0</v>
      </c>
      <c r="J241" s="47">
        <v>0</v>
      </c>
      <c r="K241" s="47">
        <v>0</v>
      </c>
      <c r="L241" s="47">
        <v>0</v>
      </c>
      <c r="M241" s="47">
        <v>0</v>
      </c>
      <c r="N241" s="47">
        <v>0</v>
      </c>
    </row>
    <row r="242" spans="1:14" x14ac:dyDescent="0.15">
      <c r="A242" s="34"/>
      <c r="B242" s="34"/>
      <c r="C242" s="34"/>
      <c r="D242" s="34"/>
      <c r="E242" s="34"/>
      <c r="F242" s="60"/>
      <c r="G242" s="47">
        <v>0</v>
      </c>
      <c r="H242" s="47">
        <v>0</v>
      </c>
      <c r="I242" s="47">
        <v>0</v>
      </c>
      <c r="J242" s="47">
        <v>0</v>
      </c>
      <c r="K242" s="47">
        <v>0</v>
      </c>
      <c r="L242" s="47">
        <v>0</v>
      </c>
      <c r="M242" s="47">
        <v>0</v>
      </c>
      <c r="N242" s="47">
        <v>0</v>
      </c>
    </row>
    <row r="243" spans="1:14" x14ac:dyDescent="0.15">
      <c r="A243" s="32"/>
      <c r="B243" s="32"/>
      <c r="C243" s="32"/>
      <c r="D243" s="32"/>
      <c r="E243" s="32"/>
      <c r="F243" s="57"/>
      <c r="G243" s="47">
        <v>0</v>
      </c>
      <c r="H243" s="47">
        <v>0</v>
      </c>
      <c r="I243" s="47">
        <v>0</v>
      </c>
      <c r="J243" s="47">
        <v>0</v>
      </c>
      <c r="K243" s="47">
        <v>0</v>
      </c>
      <c r="L243" s="47">
        <v>0</v>
      </c>
      <c r="M243" s="47">
        <v>0</v>
      </c>
      <c r="N243" s="47">
        <v>0</v>
      </c>
    </row>
    <row r="244" spans="1:14" x14ac:dyDescent="0.15">
      <c r="A244" s="32"/>
      <c r="B244" s="32"/>
      <c r="C244" s="32"/>
      <c r="D244" s="32"/>
      <c r="E244" s="32"/>
      <c r="F244" s="57"/>
      <c r="G244" s="47">
        <v>0</v>
      </c>
      <c r="H244" s="47">
        <v>0</v>
      </c>
      <c r="I244" s="47">
        <v>0</v>
      </c>
      <c r="J244" s="47">
        <v>0</v>
      </c>
      <c r="K244" s="47">
        <v>0</v>
      </c>
      <c r="L244" s="47">
        <v>0</v>
      </c>
      <c r="M244" s="47">
        <v>0</v>
      </c>
      <c r="N244" s="47">
        <v>0</v>
      </c>
    </row>
    <row r="245" spans="1:14" x14ac:dyDescent="0.15">
      <c r="A245" s="32"/>
      <c r="B245" s="32"/>
      <c r="C245" s="32"/>
      <c r="D245" s="32"/>
      <c r="E245" s="32"/>
      <c r="F245" s="57"/>
      <c r="G245" s="47">
        <v>0</v>
      </c>
      <c r="H245" s="47">
        <v>0</v>
      </c>
      <c r="I245" s="47">
        <v>0</v>
      </c>
      <c r="J245" s="47">
        <v>0</v>
      </c>
      <c r="K245" s="47">
        <v>0</v>
      </c>
      <c r="L245" s="47">
        <v>0</v>
      </c>
      <c r="M245" s="47">
        <v>0</v>
      </c>
      <c r="N245" s="47">
        <v>0</v>
      </c>
    </row>
    <row r="246" spans="1:14" x14ac:dyDescent="0.15">
      <c r="A246" s="32"/>
      <c r="B246" s="32"/>
      <c r="C246" s="32"/>
      <c r="D246" s="32"/>
      <c r="E246" s="32"/>
      <c r="F246" s="57"/>
      <c r="G246" s="47">
        <v>0</v>
      </c>
      <c r="H246" s="47">
        <v>0</v>
      </c>
      <c r="I246" s="47">
        <v>0</v>
      </c>
      <c r="J246" s="47">
        <v>0</v>
      </c>
      <c r="K246" s="47">
        <v>0</v>
      </c>
      <c r="L246" s="47">
        <v>0</v>
      </c>
      <c r="M246" s="47">
        <v>0</v>
      </c>
      <c r="N246" s="47">
        <v>0</v>
      </c>
    </row>
    <row r="247" spans="1:14" x14ac:dyDescent="0.15">
      <c r="A247" s="32"/>
      <c r="B247" s="32"/>
      <c r="C247" s="32"/>
      <c r="D247" s="32"/>
      <c r="E247" s="32"/>
      <c r="F247" s="57"/>
      <c r="G247" s="47">
        <v>0</v>
      </c>
      <c r="H247" s="47">
        <v>0</v>
      </c>
      <c r="I247" s="47">
        <v>0</v>
      </c>
      <c r="J247" s="47">
        <v>0</v>
      </c>
      <c r="K247" s="47">
        <v>0</v>
      </c>
      <c r="L247" s="47">
        <v>0</v>
      </c>
      <c r="M247" s="47">
        <v>0</v>
      </c>
      <c r="N247" s="47">
        <v>0</v>
      </c>
    </row>
    <row r="248" spans="1:14" x14ac:dyDescent="0.15">
      <c r="A248" s="58"/>
      <c r="B248" s="58"/>
      <c r="C248" s="58"/>
      <c r="D248" s="32"/>
      <c r="E248" s="51"/>
      <c r="F248" s="57"/>
      <c r="G248" s="47">
        <v>0</v>
      </c>
      <c r="H248" s="47">
        <v>0</v>
      </c>
      <c r="I248" s="47">
        <v>0</v>
      </c>
      <c r="J248" s="47">
        <v>0</v>
      </c>
      <c r="K248" s="47">
        <v>0</v>
      </c>
      <c r="L248" s="47">
        <v>0</v>
      </c>
      <c r="M248" s="47">
        <v>0</v>
      </c>
      <c r="N248" s="47">
        <v>0</v>
      </c>
    </row>
  </sheetData>
  <mergeCells count="1">
    <mergeCell ref="K3:N3"/>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3F1E-ED61-BE49-B1BA-F6506592CC2F}">
  <sheetPr codeName="Sheet8"/>
  <dimension ref="E6:Y28"/>
  <sheetViews>
    <sheetView workbookViewId="0">
      <selection activeCell="H17" sqref="H17"/>
    </sheetView>
  </sheetViews>
  <sheetFormatPr baseColWidth="10" defaultRowHeight="13" x14ac:dyDescent="0.15"/>
  <cols>
    <col min="1" max="4" width="8.83203125" customWidth="1"/>
    <col min="5" max="5" width="18.1640625" customWidth="1"/>
    <col min="6" max="256" width="8.83203125" customWidth="1"/>
  </cols>
  <sheetData>
    <row r="6" spans="5:25" x14ac:dyDescent="0.15">
      <c r="E6" s="66" t="s">
        <v>787</v>
      </c>
    </row>
    <row r="7" spans="5:25" ht="196" x14ac:dyDescent="0.15">
      <c r="E7" s="24" t="s">
        <v>23</v>
      </c>
      <c r="F7" s="24" t="s">
        <v>24</v>
      </c>
      <c r="G7" s="24" t="s">
        <v>25</v>
      </c>
      <c r="H7" s="24" t="s">
        <v>26</v>
      </c>
      <c r="I7" s="24" t="s">
        <v>23</v>
      </c>
      <c r="J7" s="24" t="s">
        <v>24</v>
      </c>
      <c r="K7" s="24" t="s">
        <v>25</v>
      </c>
      <c r="L7" s="24" t="s">
        <v>27</v>
      </c>
      <c r="M7" s="24" t="s">
        <v>23</v>
      </c>
      <c r="N7" s="24" t="s">
        <v>24</v>
      </c>
      <c r="O7" s="24" t="s">
        <v>25</v>
      </c>
      <c r="P7" s="24" t="s">
        <v>28</v>
      </c>
      <c r="R7" s="24" t="s">
        <v>33</v>
      </c>
      <c r="S7" s="24" t="s">
        <v>34</v>
      </c>
      <c r="T7" s="24" t="s">
        <v>35</v>
      </c>
      <c r="U7" s="24" t="s">
        <v>36</v>
      </c>
      <c r="V7" s="24" t="s">
        <v>37</v>
      </c>
      <c r="W7" s="24" t="s">
        <v>38</v>
      </c>
      <c r="X7" s="24" t="s">
        <v>39</v>
      </c>
      <c r="Y7" s="24" t="s">
        <v>40</v>
      </c>
    </row>
    <row r="8" spans="5:25" x14ac:dyDescent="0.15">
      <c r="E8" s="108">
        <f>'System Level Data'!D17</f>
        <v>1503149</v>
      </c>
      <c r="F8" s="108">
        <f>'System Level Data'!E17</f>
        <v>55513</v>
      </c>
      <c r="G8" s="108">
        <f>'System Level Data'!F17</f>
        <v>886081</v>
      </c>
      <c r="H8" s="108">
        <f>'System Level Data'!G17</f>
        <v>2444743</v>
      </c>
      <c r="I8" s="108">
        <f>'System Level Data'!H17</f>
        <v>910567</v>
      </c>
      <c r="J8" s="108">
        <f>'System Level Data'!I17</f>
        <v>52395</v>
      </c>
      <c r="K8" s="108">
        <f>'System Level Data'!J17</f>
        <v>855030</v>
      </c>
      <c r="L8" s="108">
        <f>'System Level Data'!K17</f>
        <v>1817992</v>
      </c>
      <c r="M8" s="108">
        <f>'System Level Data'!L17</f>
        <v>592582</v>
      </c>
      <c r="N8" s="108">
        <f>'System Level Data'!M17</f>
        <v>3118</v>
      </c>
      <c r="O8" s="108">
        <f>'System Level Data'!N17</f>
        <v>31051</v>
      </c>
      <c r="P8" s="108">
        <f>'System Level Data'!O17</f>
        <v>626751</v>
      </c>
      <c r="R8" s="108">
        <f>'System Level Data'!T17</f>
        <v>394675</v>
      </c>
      <c r="S8" s="108">
        <f>'System Level Data'!U17</f>
        <v>1534</v>
      </c>
      <c r="T8" s="108">
        <f>'System Level Data'!V17</f>
        <v>5107</v>
      </c>
      <c r="U8" s="108">
        <f>'System Level Data'!W17</f>
        <v>401316</v>
      </c>
      <c r="V8" s="108">
        <f>'System Level Data'!X17</f>
        <v>134842</v>
      </c>
      <c r="W8" s="108">
        <f>'System Level Data'!Y17</f>
        <v>536158</v>
      </c>
      <c r="X8" s="108">
        <f>'System Level Data'!Z17</f>
        <v>129199</v>
      </c>
      <c r="Y8" s="108">
        <f>'System Level Data'!AA17</f>
        <v>50582</v>
      </c>
    </row>
    <row r="9" spans="5:25" x14ac:dyDescent="0.15">
      <c r="E9" s="108">
        <f>SUM('System Level Data'!D$19:D$54)</f>
        <v>1503149</v>
      </c>
      <c r="F9" s="108">
        <f>SUM('System Level Data'!E$19:E$54)</f>
        <v>55513</v>
      </c>
      <c r="G9" s="108">
        <f>SUM('System Level Data'!F$19:F$54)</f>
        <v>886081</v>
      </c>
      <c r="H9" s="108">
        <f>SUM('System Level Data'!G$19:G$54)</f>
        <v>2444743</v>
      </c>
      <c r="I9" s="108">
        <f>SUM('System Level Data'!H$19:H$54)</f>
        <v>910567</v>
      </c>
      <c r="J9" s="108">
        <f>SUM('System Level Data'!I$19:I$54)</f>
        <v>52395</v>
      </c>
      <c r="K9" s="108">
        <f>SUM('System Level Data'!J$19:J$54)</f>
        <v>855030</v>
      </c>
      <c r="L9" s="108">
        <f>SUM('System Level Data'!K$19:K$54)</f>
        <v>1817992</v>
      </c>
      <c r="M9" s="108">
        <f>SUM('System Level Data'!L$19:L$54)</f>
        <v>592582</v>
      </c>
      <c r="N9" s="108">
        <f>SUM('System Level Data'!M$19:M$54)</f>
        <v>3118</v>
      </c>
      <c r="O9" s="108">
        <f>SUM('System Level Data'!N$19:N$54)</f>
        <v>31051</v>
      </c>
      <c r="P9" s="108">
        <f>SUM('System Level Data'!O$19:O$54)</f>
        <v>626751</v>
      </c>
      <c r="R9" s="108">
        <f>SUM('System Level Data'!T$19:T$54)</f>
        <v>394675</v>
      </c>
      <c r="S9" s="108">
        <f>SUM('System Level Data'!U$19:U$54)</f>
        <v>1534</v>
      </c>
      <c r="T9" s="108">
        <f>SUM('System Level Data'!V$19:V$54)</f>
        <v>5107</v>
      </c>
      <c r="U9" s="108">
        <f>SUM('System Level Data'!W$19:W$54)</f>
        <v>401316</v>
      </c>
      <c r="V9" s="108">
        <f>SUM('System Level Data'!X$19:X$54)</f>
        <v>134842</v>
      </c>
      <c r="W9" s="108">
        <f>SUM('System Level Data'!Y$19:Y$54)</f>
        <v>536158</v>
      </c>
      <c r="X9" s="108">
        <f>SUM('System Level Data'!Z$19:Z$54)</f>
        <v>129199</v>
      </c>
      <c r="Y9" s="108">
        <f>SUM('System Level Data'!AA$19:AA$54)</f>
        <v>50582</v>
      </c>
    </row>
    <row r="11" spans="5:25" x14ac:dyDescent="0.15">
      <c r="E11" t="str">
        <f>IF(E8=E9,"pass","fail")</f>
        <v>pass</v>
      </c>
      <c r="F11" t="str">
        <f t="shared" ref="F11:Y11" si="0">IF(F8=F9,"pass","fail")</f>
        <v>pass</v>
      </c>
      <c r="G11" t="str">
        <f t="shared" si="0"/>
        <v>pass</v>
      </c>
      <c r="H11" t="str">
        <f t="shared" si="0"/>
        <v>pass</v>
      </c>
      <c r="I11" t="str">
        <f t="shared" si="0"/>
        <v>pass</v>
      </c>
      <c r="J11" t="str">
        <f t="shared" si="0"/>
        <v>pass</v>
      </c>
      <c r="K11" t="str">
        <f t="shared" si="0"/>
        <v>pass</v>
      </c>
      <c r="L11" t="str">
        <f t="shared" si="0"/>
        <v>pass</v>
      </c>
      <c r="M11" t="str">
        <f t="shared" si="0"/>
        <v>pass</v>
      </c>
      <c r="N11" t="str">
        <f t="shared" si="0"/>
        <v>pass</v>
      </c>
      <c r="O11" t="str">
        <f t="shared" si="0"/>
        <v>pass</v>
      </c>
      <c r="P11" t="str">
        <f t="shared" si="0"/>
        <v>pass</v>
      </c>
      <c r="R11" t="str">
        <f t="shared" si="0"/>
        <v>pass</v>
      </c>
      <c r="S11" t="str">
        <f t="shared" si="0"/>
        <v>pass</v>
      </c>
      <c r="T11" t="str">
        <f t="shared" si="0"/>
        <v>pass</v>
      </c>
      <c r="U11" t="str">
        <f t="shared" si="0"/>
        <v>pass</v>
      </c>
      <c r="V11" t="str">
        <f t="shared" si="0"/>
        <v>pass</v>
      </c>
      <c r="W11" t="str">
        <f t="shared" si="0"/>
        <v>pass</v>
      </c>
      <c r="X11" t="str">
        <f t="shared" si="0"/>
        <v>pass</v>
      </c>
      <c r="Y11" t="str">
        <f t="shared" si="0"/>
        <v>pass</v>
      </c>
    </row>
    <row r="12" spans="5:25" x14ac:dyDescent="0.15">
      <c r="E12" s="66" t="s">
        <v>788</v>
      </c>
    </row>
    <row r="13" spans="5:25" x14ac:dyDescent="0.15">
      <c r="E13" t="str">
        <f>IF(E8=E17,"pass","fail")</f>
        <v>pass</v>
      </c>
      <c r="F13" t="str">
        <f>IF(F8=F17,"pass","fail")</f>
        <v>pass</v>
      </c>
      <c r="G13" t="str">
        <f t="shared" ref="G13:P13" si="1">IF(G8=G17,"pass","fail")</f>
        <v>pass</v>
      </c>
      <c r="H13" t="str">
        <f t="shared" si="1"/>
        <v>pass</v>
      </c>
      <c r="I13" t="str">
        <f t="shared" si="1"/>
        <v>pass</v>
      </c>
      <c r="J13" t="str">
        <f t="shared" si="1"/>
        <v>pass</v>
      </c>
      <c r="K13" t="str">
        <f t="shared" si="1"/>
        <v>pass</v>
      </c>
      <c r="L13" t="str">
        <f t="shared" si="1"/>
        <v>pass</v>
      </c>
      <c r="M13" t="str">
        <f t="shared" si="1"/>
        <v>pass</v>
      </c>
      <c r="N13" t="str">
        <f t="shared" si="1"/>
        <v>pass</v>
      </c>
      <c r="O13" t="str">
        <f t="shared" si="1"/>
        <v>pass</v>
      </c>
      <c r="P13" t="str">
        <f t="shared" si="1"/>
        <v>pass</v>
      </c>
      <c r="R13" t="str">
        <f>IF(R8=R17,"pass","fail")</f>
        <v>pass</v>
      </c>
      <c r="S13" t="str">
        <f t="shared" ref="S13:Y13" si="2">IF(S8=S17,"pass","fail")</f>
        <v>pass</v>
      </c>
      <c r="T13" t="str">
        <f t="shared" si="2"/>
        <v>pass</v>
      </c>
      <c r="U13" t="str">
        <f t="shared" si="2"/>
        <v>pass</v>
      </c>
      <c r="V13" t="str">
        <f t="shared" si="2"/>
        <v>pass</v>
      </c>
      <c r="W13" t="str">
        <f t="shared" si="2"/>
        <v>pass</v>
      </c>
      <c r="X13" t="str">
        <f t="shared" si="2"/>
        <v>pass</v>
      </c>
      <c r="Y13" t="str">
        <f t="shared" si="2"/>
        <v>pass</v>
      </c>
    </row>
    <row r="15" spans="5:25" x14ac:dyDescent="0.15">
      <c r="E15" s="66" t="s">
        <v>789</v>
      </c>
    </row>
    <row r="16" spans="5:25" ht="196" x14ac:dyDescent="0.15">
      <c r="E16" s="24" t="s">
        <v>23</v>
      </c>
      <c r="F16" s="24" t="s">
        <v>24</v>
      </c>
      <c r="G16" s="24" t="s">
        <v>25</v>
      </c>
      <c r="H16" s="24" t="s">
        <v>26</v>
      </c>
      <c r="I16" s="24" t="s">
        <v>23</v>
      </c>
      <c r="J16" s="24" t="s">
        <v>24</v>
      </c>
      <c r="K16" s="24" t="s">
        <v>25</v>
      </c>
      <c r="L16" s="24" t="s">
        <v>27</v>
      </c>
      <c r="M16" s="24" t="s">
        <v>23</v>
      </c>
      <c r="N16" s="24" t="s">
        <v>24</v>
      </c>
      <c r="O16" s="24" t="s">
        <v>25</v>
      </c>
      <c r="P16" s="24" t="s">
        <v>28</v>
      </c>
      <c r="R16" s="24" t="s">
        <v>33</v>
      </c>
      <c r="S16" s="24" t="s">
        <v>34</v>
      </c>
      <c r="T16" s="24" t="s">
        <v>35</v>
      </c>
      <c r="U16" s="24" t="s">
        <v>36</v>
      </c>
      <c r="V16" s="24" t="s">
        <v>37</v>
      </c>
      <c r="W16" s="24" t="s">
        <v>38</v>
      </c>
      <c r="X16" s="24" t="s">
        <v>39</v>
      </c>
      <c r="Y16" s="24" t="s">
        <v>40</v>
      </c>
    </row>
    <row r="17" spans="5:25" x14ac:dyDescent="0.15">
      <c r="E17" s="108">
        <f>'Provider Level Data'!E17</f>
        <v>1503149</v>
      </c>
      <c r="F17" s="108">
        <f>'Provider Level Data'!F17</f>
        <v>55513</v>
      </c>
      <c r="G17" s="108">
        <f>'Provider Level Data'!G17</f>
        <v>886081</v>
      </c>
      <c r="H17" s="108">
        <f>'Provider Level Data'!H17</f>
        <v>2444743</v>
      </c>
      <c r="I17" s="108">
        <f>'Provider Level Data'!I17</f>
        <v>910567</v>
      </c>
      <c r="J17" s="108">
        <f>'Provider Level Data'!J17</f>
        <v>52395</v>
      </c>
      <c r="K17" s="108">
        <f>'Provider Level Data'!K17</f>
        <v>855030</v>
      </c>
      <c r="L17" s="108">
        <f>'Provider Level Data'!L17</f>
        <v>1817992</v>
      </c>
      <c r="M17" s="108">
        <f>'Provider Level Data'!M17</f>
        <v>592582</v>
      </c>
      <c r="N17" s="108">
        <f>'Provider Level Data'!N17</f>
        <v>3118</v>
      </c>
      <c r="O17" s="108">
        <f>'Provider Level Data'!O17</f>
        <v>31051</v>
      </c>
      <c r="P17" s="108">
        <f>'Provider Level Data'!P17</f>
        <v>626751</v>
      </c>
      <c r="R17" s="108">
        <f>'Provider Level Data'!U17</f>
        <v>394675</v>
      </c>
      <c r="S17" s="108">
        <f>'Provider Level Data'!V17</f>
        <v>1534</v>
      </c>
      <c r="T17" s="108">
        <f>'Provider Level Data'!W17</f>
        <v>5107</v>
      </c>
      <c r="U17" s="108">
        <f>'Provider Level Data'!X17</f>
        <v>401316</v>
      </c>
      <c r="V17" s="108">
        <f>'Provider Level Data'!Y17</f>
        <v>134842</v>
      </c>
      <c r="W17" s="108">
        <f>'Provider Level Data'!Z17</f>
        <v>536158</v>
      </c>
      <c r="X17" s="108">
        <f>'Provider Level Data'!AA17</f>
        <v>129199</v>
      </c>
      <c r="Y17" s="108">
        <f>'Provider Level Data'!AB17</f>
        <v>50582</v>
      </c>
    </row>
    <row r="18" spans="5:25" x14ac:dyDescent="0.15">
      <c r="E18" s="108">
        <f>SUM('Provider Level Data'!E$19:E$219)</f>
        <v>1503149</v>
      </c>
      <c r="F18" s="108">
        <f>SUM('Provider Level Data'!F$19:F$219)</f>
        <v>55513</v>
      </c>
      <c r="G18" s="108">
        <f>SUM('Provider Level Data'!G$19:G$219)</f>
        <v>886081</v>
      </c>
      <c r="H18" s="108">
        <f>SUM('Provider Level Data'!H$19:H$219)</f>
        <v>2444743</v>
      </c>
      <c r="I18" s="108">
        <f>SUM('Provider Level Data'!I$19:I$219)</f>
        <v>910567</v>
      </c>
      <c r="J18" s="108">
        <f>SUM('Provider Level Data'!J$19:J$219)</f>
        <v>52395</v>
      </c>
      <c r="K18" s="108">
        <f>SUM('Provider Level Data'!K$19:K$219)</f>
        <v>855030</v>
      </c>
      <c r="L18" s="108">
        <f>SUM('Provider Level Data'!L$19:L$219)</f>
        <v>1817992</v>
      </c>
      <c r="M18" s="108">
        <f>SUM('Provider Level Data'!M$19:M$219)</f>
        <v>592582</v>
      </c>
      <c r="N18" s="108">
        <f>SUM('Provider Level Data'!N$19:N$219)</f>
        <v>3118</v>
      </c>
      <c r="O18" s="108">
        <f>SUM('Provider Level Data'!O$19:O$219)</f>
        <v>31051</v>
      </c>
      <c r="P18" s="108">
        <f>SUM('Provider Level Data'!P$19:P$219)</f>
        <v>626751</v>
      </c>
      <c r="R18" s="108">
        <f>SUM('Provider Level Data'!U$19:U$219)</f>
        <v>394675</v>
      </c>
      <c r="S18" s="108">
        <f>SUM('Provider Level Data'!V$19:V$219)</f>
        <v>1534</v>
      </c>
      <c r="T18" s="108">
        <f>SUM('Provider Level Data'!W$19:W$219)</f>
        <v>5107</v>
      </c>
      <c r="U18" s="108">
        <f>SUM('Provider Level Data'!X$19:X$219)</f>
        <v>401316</v>
      </c>
      <c r="V18" s="108">
        <f>SUM('Provider Level Data'!Y$19:Y$219)</f>
        <v>134842</v>
      </c>
      <c r="W18" s="108">
        <f>SUM('Provider Level Data'!Z$19:Z$219)</f>
        <v>536158</v>
      </c>
      <c r="X18" s="108">
        <f>SUM('Provider Level Data'!AA$19:AA$219)</f>
        <v>129199</v>
      </c>
      <c r="Y18" s="108">
        <f>SUM('Provider Level Data'!AB$19:AB$219)</f>
        <v>50582</v>
      </c>
    </row>
    <row r="20" spans="5:25" x14ac:dyDescent="0.15">
      <c r="E20" t="str">
        <f>IF(E17=E18,"pass","fail")</f>
        <v>pass</v>
      </c>
      <c r="F20" t="str">
        <f t="shared" ref="F20:Y20" si="3">IF(F17=F18,"pass","fail")</f>
        <v>pass</v>
      </c>
      <c r="G20" t="str">
        <f t="shared" si="3"/>
        <v>pass</v>
      </c>
      <c r="H20" t="str">
        <f t="shared" si="3"/>
        <v>pass</v>
      </c>
      <c r="I20" t="str">
        <f t="shared" si="3"/>
        <v>pass</v>
      </c>
      <c r="J20" t="str">
        <f t="shared" si="3"/>
        <v>pass</v>
      </c>
      <c r="K20" t="str">
        <f t="shared" si="3"/>
        <v>pass</v>
      </c>
      <c r="L20" t="str">
        <f t="shared" si="3"/>
        <v>pass</v>
      </c>
      <c r="M20" t="str">
        <f t="shared" si="3"/>
        <v>pass</v>
      </c>
      <c r="N20" t="str">
        <f t="shared" si="3"/>
        <v>pass</v>
      </c>
      <c r="O20" t="str">
        <f t="shared" si="3"/>
        <v>pass</v>
      </c>
      <c r="P20" t="str">
        <f t="shared" si="3"/>
        <v>pass</v>
      </c>
      <c r="R20" t="str">
        <f t="shared" si="3"/>
        <v>pass</v>
      </c>
      <c r="S20" t="str">
        <f t="shared" si="3"/>
        <v>pass</v>
      </c>
      <c r="T20" t="str">
        <f t="shared" si="3"/>
        <v>pass</v>
      </c>
      <c r="U20" t="str">
        <f t="shared" si="3"/>
        <v>pass</v>
      </c>
      <c r="V20" t="str">
        <f t="shared" si="3"/>
        <v>pass</v>
      </c>
      <c r="W20" t="str">
        <f t="shared" si="3"/>
        <v>pass</v>
      </c>
      <c r="X20" t="str">
        <f t="shared" si="3"/>
        <v>pass</v>
      </c>
      <c r="Y20" t="str">
        <f t="shared" si="3"/>
        <v>pass</v>
      </c>
    </row>
    <row r="22" spans="5:25" x14ac:dyDescent="0.15">
      <c r="E22" s="66" t="s">
        <v>790</v>
      </c>
    </row>
    <row r="23" spans="5:25" x14ac:dyDescent="0.15">
      <c r="E23" t="str">
        <f>IF(E17=E27,"PASS","Fail")</f>
        <v>PASS</v>
      </c>
      <c r="F23" t="str">
        <f t="shared" ref="F23:P23" si="4">IF(F17=F27,"PASS","Fail")</f>
        <v>PASS</v>
      </c>
      <c r="G23" t="str">
        <f t="shared" si="4"/>
        <v>PASS</v>
      </c>
      <c r="H23" t="str">
        <f t="shared" si="4"/>
        <v>PASS</v>
      </c>
      <c r="I23" t="str">
        <f t="shared" si="4"/>
        <v>PASS</v>
      </c>
      <c r="J23" t="str">
        <f t="shared" si="4"/>
        <v>PASS</v>
      </c>
      <c r="K23" t="str">
        <f t="shared" si="4"/>
        <v>PASS</v>
      </c>
      <c r="L23" t="str">
        <f t="shared" si="4"/>
        <v>PASS</v>
      </c>
      <c r="M23" t="str">
        <f t="shared" si="4"/>
        <v>PASS</v>
      </c>
      <c r="N23" t="str">
        <f t="shared" si="4"/>
        <v>PASS</v>
      </c>
      <c r="O23" t="str">
        <f t="shared" si="4"/>
        <v>PASS</v>
      </c>
      <c r="P23" t="str">
        <f t="shared" si="4"/>
        <v>PASS</v>
      </c>
    </row>
    <row r="25" spans="5:25" x14ac:dyDescent="0.15">
      <c r="E25" s="66" t="s">
        <v>705</v>
      </c>
    </row>
    <row r="26" spans="5:25" ht="112" x14ac:dyDescent="0.15">
      <c r="E26" s="24" t="s">
        <v>23</v>
      </c>
      <c r="F26" s="24" t="s">
        <v>24</v>
      </c>
      <c r="G26" s="24" t="s">
        <v>25</v>
      </c>
      <c r="H26" s="24" t="s">
        <v>26</v>
      </c>
      <c r="I26" s="24" t="s">
        <v>23</v>
      </c>
      <c r="J26" s="24" t="s">
        <v>24</v>
      </c>
      <c r="K26" s="24" t="s">
        <v>25</v>
      </c>
      <c r="L26" s="24" t="s">
        <v>27</v>
      </c>
      <c r="M26" s="24" t="s">
        <v>23</v>
      </c>
      <c r="N26" s="24" t="s">
        <v>24</v>
      </c>
      <c r="O26" s="24" t="s">
        <v>25</v>
      </c>
      <c r="P26" s="24" t="s">
        <v>28</v>
      </c>
    </row>
    <row r="27" spans="5:25" x14ac:dyDescent="0.15">
      <c r="E27" s="108">
        <f>'Acute Trust Footprint Data'!E17</f>
        <v>1503149</v>
      </c>
      <c r="F27" s="108">
        <f>'Acute Trust Footprint Data'!F17</f>
        <v>55513</v>
      </c>
      <c r="G27" s="108">
        <f>'Acute Trust Footprint Data'!G17</f>
        <v>886081</v>
      </c>
      <c r="H27" s="108">
        <f>'Acute Trust Footprint Data'!H17</f>
        <v>2444743</v>
      </c>
      <c r="I27" s="108">
        <f>'Acute Trust Footprint Data'!I17</f>
        <v>910567</v>
      </c>
      <c r="J27" s="108">
        <f>'Acute Trust Footprint Data'!J17</f>
        <v>52395</v>
      </c>
      <c r="K27" s="108">
        <f>'Acute Trust Footprint Data'!K17</f>
        <v>855030</v>
      </c>
      <c r="L27" s="108">
        <f>'Acute Trust Footprint Data'!L17</f>
        <v>1817992</v>
      </c>
      <c r="M27" s="108">
        <f>'Acute Trust Footprint Data'!M17</f>
        <v>592582</v>
      </c>
      <c r="N27" s="108">
        <f>'Acute Trust Footprint Data'!N17</f>
        <v>3118</v>
      </c>
      <c r="O27" s="108">
        <f>'Acute Trust Footprint Data'!O17</f>
        <v>31051</v>
      </c>
      <c r="P27" s="108">
        <f>'Acute Trust Footprint Data'!P17</f>
        <v>626751</v>
      </c>
    </row>
    <row r="28" spans="5:25" x14ac:dyDescent="0.15">
      <c r="E28" s="108">
        <f>SUM('Acute Trust Footprint Data'!E$19:E$140)</f>
        <v>1503149</v>
      </c>
      <c r="F28" s="108">
        <f>SUM('Acute Trust Footprint Data'!F$19:F$140)</f>
        <v>55513</v>
      </c>
      <c r="G28" s="108">
        <f>SUM('Acute Trust Footprint Data'!G$19:G$140)</f>
        <v>886081</v>
      </c>
      <c r="H28" s="108">
        <f>SUM('Acute Trust Footprint Data'!H$19:H$140)</f>
        <v>2444743</v>
      </c>
      <c r="I28" s="108">
        <f>SUM('Acute Trust Footprint Data'!I$19:I$140)</f>
        <v>910567</v>
      </c>
      <c r="J28" s="108">
        <f>SUM('Acute Trust Footprint Data'!J$19:J$140)</f>
        <v>52395</v>
      </c>
      <c r="K28" s="108">
        <f>SUM('Acute Trust Footprint Data'!K$19:K$140)</f>
        <v>855030</v>
      </c>
      <c r="L28" s="108">
        <f>SUM('Acute Trust Footprint Data'!L$19:L$140)</f>
        <v>1817992</v>
      </c>
      <c r="M28" s="108">
        <f>SUM('Acute Trust Footprint Data'!M$19:M$140)</f>
        <v>592582</v>
      </c>
      <c r="N28" s="108">
        <f>SUM('Acute Trust Footprint Data'!N$19:N$140)</f>
        <v>3118</v>
      </c>
      <c r="O28" s="108">
        <f>SUM('Acute Trust Footprint Data'!O$19:O$140)</f>
        <v>31051</v>
      </c>
      <c r="P28" s="108">
        <f>SUM('Acute Trust Footprint Data'!P$19:P$140)</f>
        <v>626751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9" ma:contentTypeDescription="Create a new document." ma:contentTypeScope="" ma:versionID="fff86f49756c028f2559836b930bdf9e">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74f51bfda792cfeb78e5cf346c319b6e"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C9DA4C-1E26-4818-AB4E-59318DA9AE61}">
  <ds:schemaRefs>
    <ds:schemaRef ds:uri="http://schemas.microsoft.com/sharepoint/v3/contenttype/forms"/>
  </ds:schemaRefs>
</ds:datastoreItem>
</file>

<file path=customXml/itemProps2.xml><?xml version="1.0" encoding="utf-8"?>
<ds:datastoreItem xmlns:ds="http://schemas.openxmlformats.org/officeDocument/2006/customXml" ds:itemID="{DCAFDD85-48B8-4DE3-88CE-DC9EFF129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fb9783-1faf-46d3-8810-c8b69aa0f487"/>
    <ds:schemaRef ds:uri="c44079d0-8f68-4105-8d53-e90d6dc48a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System Level Data</vt:lpstr>
      <vt:lpstr>System Mapping</vt:lpstr>
      <vt:lpstr>Provider Level Data</vt:lpstr>
      <vt:lpstr>Pivot_Kent</vt:lpstr>
      <vt:lpstr>AE_Clean</vt:lpstr>
      <vt:lpstr>Summary</vt:lpstr>
      <vt:lpstr>Non-Booked Data</vt:lpstr>
      <vt:lpstr>Booked Appointments Data</vt:lpstr>
      <vt:lpstr>Acute Trust Footprint Data</vt:lpstr>
      <vt:lpstr>Acute Trust Mapping</vt:lpstr>
      <vt:lpstr>QA</vt:lpstr>
      <vt:lpstr>'Booked Appointments Data'!Print_Titles</vt:lpstr>
      <vt:lpstr>'Non-Booked Data'!Print_Titles</vt:lpstr>
      <vt:lpstr>'Provider Level Data'!Print_Titles</vt:lpstr>
    </vt:vector>
  </TitlesOfParts>
  <Manager/>
  <Company>Department of Health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 User</dc:creator>
  <cp:keywords/>
  <dc:description/>
  <cp:lastModifiedBy>Ogundare Abdulahi</cp:lastModifiedBy>
  <cp:revision/>
  <dcterms:created xsi:type="dcterms:W3CDTF">2003-08-01T14:12:13Z</dcterms:created>
  <dcterms:modified xsi:type="dcterms:W3CDTF">2026-10-21T21:26:48Z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0x010100D0A82285E0DA2D46A600399A1F285C23</vt:lpwstr>
  </property>
  <property fmtid="{D5CDD505-2E9C-101B-9397-08002B2CF9AE}" pid="3" name="MediaServiceImageTags">
    <vt:lpwstr/>
  </property>
  <property fmtid="{D5CDD505-2E9C-101B-9397-08002B2CF9AE}" pid="4" name="_ExtendedDescription">
    <vt:lpwstr/>
  </property>
  <property fmtid="{D5CDD505-2E9C-101B-9397-08002B2CF9AE}" pid="5" name="Order">
    <vt:r8>111058800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_ip_UnifiedCompliancePolicyUIAction">
    <vt:lpwstr/>
  </property>
  <property fmtid="{D5CDD505-2E9C-101B-9397-08002B2CF9AE}" pid="12" name="_ip_UnifiedCompliancePolicyProperties">
    <vt:lpwstr/>
  </property>
  <property fmtid="{D5CDD505-2E9C-101B-9397-08002B2CF9AE}" pid="13" name="Date_Time">
    <vt:lpwstr/>
  </property>
  <property fmtid="{D5CDD505-2E9C-101B-9397-08002B2CF9AE}" pid="14" name="lcf76f155ced4ddcb4097134ff3c332f">
    <vt:lpwstr/>
  </property>
  <property fmtid="{D5CDD505-2E9C-101B-9397-08002B2CF9AE}" pid="15" name="Sign-off status">
    <vt:lpwstr/>
  </property>
  <property fmtid="{D5CDD505-2E9C-101B-9397-08002B2CF9AE}" pid="16" name="SharedWithUsers">
    <vt:lpwstr/>
  </property>
</Properties>
</file>